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PANDUAN" sheetId="1" state="visible" r:id="rId1"/>
    <sheet xmlns:r="http://schemas.openxmlformats.org/officeDocument/2006/relationships" name="DASHBOARD" sheetId="2" state="visible" r:id="rId2"/>
    <sheet xmlns:r="http://schemas.openxmlformats.org/officeDocument/2006/relationships" name="KEPUTUSAN" sheetId="3" state="visible" r:id="rId3"/>
    <sheet xmlns:r="http://schemas.openxmlformats.org/officeDocument/2006/relationships" name="HAKIM_H1" sheetId="4" state="visible" r:id="rId4"/>
    <sheet xmlns:r="http://schemas.openxmlformats.org/officeDocument/2006/relationships" name="HAKIM_H2" sheetId="5" state="visible" r:id="rId5"/>
    <sheet xmlns:r="http://schemas.openxmlformats.org/officeDocument/2006/relationships" name="HAKIM_H3" sheetId="6" state="visible" r:id="rId6"/>
    <sheet xmlns:r="http://schemas.openxmlformats.org/officeDocument/2006/relationships" name="JURI" sheetId="7" state="visible" r:id="rId7"/>
    <sheet xmlns:r="http://schemas.openxmlformats.org/officeDocument/2006/relationships" name="PECAH_SERI" sheetId="8" state="visible" r:id="rId8"/>
    <sheet xmlns:r="http://schemas.openxmlformats.org/officeDocument/2006/relationships" name="SEMAKAN" sheetId="9" state="visible" r:id="rId9"/>
  </sheets>
  <definedNames>
    <definedName name="_xlnm.Print_Area" localSheetId="0">'PANDUAN'!$A$1:$D$31</definedName>
    <definedName name="_xlnm.Print_Area" localSheetId="1">'DASHBOARD'!$A$1:$P$47</definedName>
    <definedName name="_xlnm.Print_Area" localSheetId="2">'KEPUTUSAN'!$A$1:$T$25</definedName>
    <definedName name="_xlnm.Print_Area" localSheetId="3">'HAKIM_H1'!$A$1:$Q$19</definedName>
    <definedName name="_xlnm.Print_Area" localSheetId="4">'HAKIM_H2'!$A$1:$Q$19</definedName>
    <definedName name="_xlnm.Print_Area" localSheetId="5">'HAKIM_H3'!$A$1:$Q$19</definedName>
    <definedName name="_xlnm.Print_Area" localSheetId="6">'JURI'!$A$1:$AG$21</definedName>
    <definedName name="_xlnm.Print_Area" localSheetId="7">'PECAH_SERI'!$A$1:$N$19</definedName>
    <definedName name="_xlnm.Print_Area" localSheetId="8">'SEMAKAN'!$A$1:$H$19</definedName>
  </definedNames>
  <calcPr calcId="124519" fullCalcOnLoad="1"/>
</workbook>
</file>

<file path=xl/styles.xml><?xml version="1.0" encoding="utf-8"?>
<styleSheet xmlns="http://schemas.openxmlformats.org/spreadsheetml/2006/main">
  <numFmts count="1">
    <numFmt numFmtId="164" formatCode="0.0"/>
  </numFmts>
  <fonts count="57">
    <font>
      <name val="Calibri"/>
      <family val="2"/>
      <color theme="1"/>
      <sz val="11"/>
      <scheme val="minor"/>
    </font>
    <font>
      <name val="Arial"/>
      <b val="1"/>
      <color rgb="00F3D64E"/>
      <sz val="15"/>
    </font>
    <font>
      <name val="Arial"/>
      <i val="1"/>
      <color rgb="009EE7F5"/>
      <sz val="9"/>
    </font>
    <font>
      <name val="Arial"/>
      <b val="1"/>
      <color rgb="00FFFFFF"/>
      <sz val="11"/>
    </font>
    <font>
      <name val="Arial"/>
      <b val="1"/>
      <color rgb="000891B2"/>
      <sz val="10"/>
    </font>
    <font>
      <name val="Arial"/>
      <color rgb="001F2937"/>
      <sz val="10"/>
    </font>
    <font>
      <name val="Arial"/>
      <b val="1"/>
      <color rgb="00DB2777"/>
      <sz val="10"/>
    </font>
    <font>
      <name val="Arial"/>
      <b val="1"/>
      <color rgb="00CA8A04"/>
      <sz val="10"/>
    </font>
    <font>
      <name val="Arial"/>
      <b val="1"/>
      <color rgb="007C3AED"/>
      <sz val="10"/>
    </font>
    <font>
      <name val="Arial"/>
      <b val="1"/>
      <color rgb="001E2F55"/>
      <sz val="10"/>
    </font>
    <font>
      <name val="Arial"/>
      <b val="1"/>
      <color rgb="00FFFFFF"/>
      <sz val="10"/>
    </font>
    <font>
      <name val="Arial"/>
      <b val="1"/>
      <color rgb="00FFFFFF"/>
      <sz val="8"/>
    </font>
    <font>
      <name val="Arial"/>
      <b val="1"/>
      <color rgb="007C3AED"/>
      <sz val="9"/>
    </font>
    <font>
      <name val="Arial"/>
      <b val="1"/>
      <color rgb="00059669"/>
      <sz val="9"/>
    </font>
    <font>
      <name val="Arial"/>
      <b val="1"/>
      <color rgb="00EA580C"/>
      <sz val="10"/>
    </font>
    <font>
      <name val="Arial"/>
      <b val="1"/>
      <color rgb="002563EB"/>
      <sz val="10"/>
    </font>
    <font>
      <name val="Arial"/>
      <b val="1"/>
      <color rgb="00EA580C"/>
      <sz val="13"/>
    </font>
    <font>
      <name val="Arial"/>
      <b val="1"/>
      <color rgb="00DC2626"/>
      <sz val="10"/>
    </font>
    <font>
      <name val="Arial"/>
      <b val="1"/>
      <color rgb="00DC2626"/>
      <sz val="9"/>
    </font>
    <font>
      <name val="Arial"/>
      <b val="1"/>
      <color rgb="00059669"/>
      <sz val="12"/>
    </font>
    <font>
      <name val="Arial"/>
      <color rgb="001E2F55"/>
      <sz val="8"/>
    </font>
    <font>
      <name val="Arial"/>
      <b val="1"/>
      <color rgb="002563EB"/>
      <sz val="8"/>
    </font>
    <font>
      <name val="Arial"/>
      <b val="1"/>
      <color rgb="00CA8A04"/>
      <sz val="12"/>
    </font>
    <font>
      <name val="Arial"/>
      <b val="1"/>
      <color rgb="001E2F55"/>
      <sz val="8"/>
    </font>
    <font>
      <name val="Arial"/>
      <b val="1"/>
      <color rgb="000891B2"/>
      <sz val="11"/>
    </font>
    <font>
      <name val="Arial"/>
      <b val="1"/>
      <color rgb="000F1B33"/>
      <sz val="10"/>
    </font>
    <font>
      <name val="Arial"/>
      <b val="1"/>
      <color rgb="00DB2777"/>
      <sz val="12"/>
    </font>
    <font>
      <name val="Arial"/>
      <b val="1"/>
      <color rgb="000891B2"/>
      <sz val="12"/>
    </font>
    <font>
      <name val="Arial"/>
      <b val="1"/>
      <color rgb="007C3AED"/>
      <sz val="12"/>
    </font>
    <font>
      <name val="Arial"/>
      <b val="1"/>
      <color rgb="00EA580C"/>
      <sz val="12"/>
    </font>
    <font>
      <name val="Arial"/>
      <b val="1"/>
      <color rgb="002563EB"/>
      <sz val="12"/>
    </font>
    <font>
      <name val="Arial"/>
      <b val="1"/>
      <color rgb="00C026D3"/>
      <sz val="12"/>
    </font>
    <font>
      <name val="Arial"/>
      <b val="1"/>
      <color rgb="0065A30D"/>
      <sz val="12"/>
    </font>
    <font>
      <name val="Arial"/>
      <b val="1"/>
      <color rgb="00DC2626"/>
      <sz val="12"/>
    </font>
    <font>
      <name val="Arial"/>
      <b val="1"/>
      <color rgb="00DB2777"/>
      <sz val="11"/>
    </font>
    <font>
      <name val="Arial"/>
      <b val="1"/>
      <color rgb="007C3AED"/>
      <sz val="11"/>
    </font>
    <font>
      <name val="Arial"/>
      <b val="1"/>
      <color rgb="00EA580C"/>
      <sz val="11"/>
    </font>
    <font>
      <name val="Arial"/>
      <b val="1"/>
      <color rgb="002563EB"/>
      <sz val="11"/>
    </font>
    <font>
      <name val="Arial"/>
      <b val="1"/>
      <color rgb="00059669"/>
      <sz val="11"/>
    </font>
    <font>
      <name val="Arial"/>
      <b val="1"/>
      <color rgb="00CA8A04"/>
      <sz val="11"/>
    </font>
    <font>
      <name val="Arial"/>
      <b val="1"/>
      <color rgb="00C026D3"/>
      <sz val="11"/>
    </font>
    <font>
      <name val="Arial"/>
      <b val="1"/>
      <color rgb="0065A30D"/>
      <sz val="11"/>
    </font>
    <font>
      <name val="Arial"/>
      <b val="1"/>
      <color rgb="00DC2626"/>
      <sz val="11"/>
    </font>
    <font>
      <name val="Arial"/>
      <b val="1"/>
      <color rgb="000F1B33"/>
      <sz val="11"/>
    </font>
    <font>
      <name val="Arial"/>
      <b val="1"/>
      <color rgb="001E2F55"/>
      <sz val="9"/>
    </font>
    <font>
      <name val="Arial"/>
      <b val="1"/>
      <color rgb="007C3AED"/>
      <sz val="8"/>
    </font>
    <font>
      <name val="Arial"/>
      <b val="1"/>
      <color rgb="00059669"/>
      <sz val="10"/>
    </font>
    <font>
      <name val="Arial"/>
      <b val="1"/>
      <color rgb="00C026D3"/>
      <sz val="10"/>
    </font>
    <font>
      <name val="Arial"/>
      <b val="1"/>
      <color rgb="0065A30D"/>
      <sz val="10"/>
    </font>
    <font>
      <name val="Arial"/>
      <b val="1"/>
      <color rgb="00DC2626"/>
      <sz val="8"/>
    </font>
    <font>
      <name val="Arial"/>
      <color rgb="000F1B33"/>
      <sz val="8"/>
    </font>
    <font>
      <name val="Arial"/>
      <b val="1"/>
      <color rgb="00FFFFFF"/>
      <sz val="9"/>
    </font>
    <font>
      <name val="Arial"/>
      <b val="1"/>
      <color rgb="001F2937"/>
      <sz val="12"/>
    </font>
    <font>
      <name val="Arial"/>
      <b val="1"/>
      <color rgb="000891B2"/>
      <sz val="22"/>
    </font>
    <font>
      <name val="Arial"/>
      <b val="1"/>
      <color rgb="00DB2777"/>
      <sz val="22"/>
    </font>
    <font>
      <name val="Arial"/>
      <b val="1"/>
      <color rgb="007C3AED"/>
      <sz val="22"/>
    </font>
    <font>
      <name val="Arial"/>
      <b val="1"/>
      <color rgb="00EA580C"/>
      <sz val="15"/>
    </font>
  </fonts>
  <fills count="31">
    <fill>
      <patternFill/>
    </fill>
    <fill>
      <patternFill patternType="gray125"/>
    </fill>
    <fill>
      <patternFill patternType="solid">
        <fgColor rgb="000F1B33"/>
        <bgColor rgb="000F1B33"/>
      </patternFill>
    </fill>
    <fill>
      <patternFill patternType="solid">
        <fgColor rgb="001E2F55"/>
        <bgColor rgb="001E2F55"/>
      </patternFill>
    </fill>
    <fill>
      <patternFill patternType="solid">
        <fgColor rgb="000891B2"/>
        <bgColor rgb="000891B2"/>
      </patternFill>
    </fill>
    <fill>
      <patternFill patternType="solid">
        <fgColor rgb="00DB2777"/>
        <bgColor rgb="00DB2777"/>
      </patternFill>
    </fill>
    <fill>
      <patternFill patternType="solid">
        <fgColor rgb="00CA8A04"/>
        <bgColor rgb="00CA8A04"/>
      </patternFill>
    </fill>
    <fill>
      <patternFill patternType="solid">
        <fgColor rgb="007C3AED"/>
        <bgColor rgb="007C3AED"/>
      </patternFill>
    </fill>
    <fill>
      <patternFill patternType="solid">
        <fgColor rgb="00EEF2FA"/>
        <bgColor rgb="00EEF2FA"/>
      </patternFill>
    </fill>
    <fill>
      <patternFill patternType="solid">
        <fgColor rgb="00FFFFFF"/>
        <bgColor rgb="00FFFFFF"/>
      </patternFill>
    </fill>
    <fill>
      <patternFill patternType="solid">
        <fgColor rgb="00D3F1F8"/>
        <bgColor rgb="00D3F1F8"/>
      </patternFill>
    </fill>
    <fill>
      <patternFill patternType="solid">
        <fgColor rgb="00E6EEFB"/>
        <bgColor rgb="00E6EEFB"/>
      </patternFill>
    </fill>
    <fill>
      <patternFill patternType="solid">
        <fgColor rgb="00EA580C"/>
        <bgColor rgb="00EA580C"/>
      </patternFill>
    </fill>
    <fill>
      <patternFill patternType="solid">
        <fgColor rgb="002563EB"/>
        <bgColor rgb="002563EB"/>
      </patternFill>
    </fill>
    <fill>
      <patternFill patternType="solid">
        <fgColor rgb="00DC2626"/>
        <bgColor rgb="00DC2626"/>
      </patternFill>
    </fill>
    <fill>
      <patternFill patternType="solid">
        <fgColor rgb="00059669"/>
        <bgColor rgb="00059669"/>
      </patternFill>
    </fill>
    <fill>
      <patternFill patternType="solid">
        <fgColor rgb="00FFF4C2"/>
        <bgColor rgb="00FFF4C2"/>
      </patternFill>
    </fill>
    <fill>
      <patternFill patternType="solid">
        <fgColor rgb="00FBDDEC"/>
        <bgColor rgb="00FBDDEC"/>
      </patternFill>
    </fill>
    <fill>
      <patternFill patternType="solid">
        <fgColor rgb="00E7DEFD"/>
        <bgColor rgb="00E7DEFD"/>
      </patternFill>
    </fill>
    <fill>
      <patternFill patternType="solid">
        <fgColor rgb="00FFE2CF"/>
        <bgColor rgb="00FFE2CF"/>
      </patternFill>
    </fill>
    <fill>
      <patternFill patternType="solid">
        <fgColor rgb="00DAE7FD"/>
        <bgColor rgb="00DAE7FD"/>
      </patternFill>
    </fill>
    <fill>
      <patternFill patternType="solid">
        <fgColor rgb="00FFF1B8"/>
        <bgColor rgb="00FFF1B8"/>
      </patternFill>
    </fill>
    <fill>
      <patternFill patternType="solid">
        <fgColor rgb="00FBD9D9"/>
        <bgColor rgb="00FBD9D9"/>
      </patternFill>
    </fill>
    <fill>
      <patternFill patternType="solid">
        <fgColor rgb="00D1F1E4"/>
        <bgColor rgb="00D1F1E4"/>
      </patternFill>
    </fill>
    <fill>
      <patternFill patternType="solid">
        <fgColor rgb="00FDF1BF"/>
        <bgColor rgb="00FDF1BF"/>
      </patternFill>
    </fill>
    <fill>
      <patternFill patternType="solid">
        <fgColor rgb="00C026D3"/>
        <bgColor rgb="00C026D3"/>
      </patternFill>
    </fill>
    <fill>
      <patternFill patternType="solid">
        <fgColor rgb="0065A30D"/>
        <bgColor rgb="0065A30D"/>
      </patternFill>
    </fill>
    <fill>
      <patternFill patternType="solid">
        <fgColor rgb="00F3D64E"/>
        <bgColor rgb="00F3D64E"/>
      </patternFill>
    </fill>
    <fill>
      <patternFill patternType="solid">
        <fgColor rgb="00F6D9FA"/>
        <bgColor rgb="00F6D9FA"/>
      </patternFill>
    </fill>
    <fill>
      <patternFill patternType="solid">
        <fgColor rgb="00E4F4C8"/>
        <bgColor rgb="00E4F4C8"/>
      </patternFill>
    </fill>
    <fill>
      <patternFill patternType="solid">
        <fgColor rgb="00FFFBE3"/>
        <bgColor rgb="00FFFBE3"/>
      </patternFill>
    </fill>
  </fills>
  <borders count="2">
    <border>
      <left/>
      <right/>
      <top/>
      <bottom/>
      <diagonal/>
    </border>
    <border>
      <left style="thin">
        <color rgb="009AA8C4"/>
      </left>
      <right style="thin">
        <color rgb="009AA8C4"/>
      </right>
      <top style="thin">
        <color rgb="009AA8C4"/>
      </top>
      <bottom style="thin">
        <color rgb="009AA8C4"/>
      </bottom>
    </border>
  </borders>
  <cellStyleXfs count="1">
    <xf numFmtId="0" fontId="0" fillId="0" borderId="0"/>
  </cellStyleXfs>
  <cellXfs count="183">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4"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3" fillId="5" borderId="0" applyAlignment="1" pivotButton="0" quotePrefix="0" xfId="0">
      <alignment horizontal="left" vertical="center" wrapText="1"/>
    </xf>
    <xf numFmtId="0" fontId="3" fillId="5" borderId="1" applyAlignment="1" pivotButton="0" quotePrefix="0" xfId="0">
      <alignment horizontal="center" vertical="center" wrapText="1"/>
    </xf>
    <xf numFmtId="0" fontId="6" fillId="8" borderId="1" applyAlignment="1" pivotButton="0" quotePrefix="0" xfId="0">
      <alignment horizontal="left" vertical="center" wrapText="1"/>
    </xf>
    <xf numFmtId="0" fontId="6" fillId="9" borderId="1" applyAlignment="1" pivotButton="0" quotePrefix="0" xfId="0">
      <alignment horizontal="left" vertical="center" wrapText="1"/>
    </xf>
    <xf numFmtId="0" fontId="3" fillId="6" borderId="0" applyAlignment="1" pivotButton="0" quotePrefix="0" xfId="0">
      <alignment horizontal="left" vertical="center" wrapText="1"/>
    </xf>
    <xf numFmtId="0" fontId="3" fillId="6" borderId="1" applyAlignment="1" pivotButton="0" quotePrefix="0" xfId="0">
      <alignment horizontal="center"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3" fillId="7" borderId="0" applyAlignment="1" pivotButton="0" quotePrefix="0" xfId="0">
      <alignment horizontal="left" vertical="center" wrapText="1"/>
    </xf>
    <xf numFmtId="0" fontId="3" fillId="7" borderId="1" applyAlignment="1" pivotButton="0" quotePrefix="0" xfId="0">
      <alignment horizontal="center" vertical="center" wrapText="1"/>
    </xf>
    <xf numFmtId="0" fontId="8" fillId="8" borderId="1" applyAlignment="1" pivotButton="0" quotePrefix="0" xfId="0">
      <alignment horizontal="left" vertical="center" wrapText="1"/>
    </xf>
    <xf numFmtId="0" fontId="8" fillId="9" borderId="1" applyAlignment="1" pivotButton="0" quotePrefix="0" xfId="0">
      <alignment horizontal="left" vertical="center" wrapText="1"/>
    </xf>
    <xf numFmtId="0" fontId="0" fillId="12" borderId="0" pivotButton="0" quotePrefix="0" xfId="0"/>
    <xf numFmtId="0" fontId="0" fillId="15" borderId="0" pivotButton="0" quotePrefix="0" xfId="0"/>
    <xf numFmtId="0" fontId="0" fillId="13" borderId="0" pivotButton="0" quotePrefix="0" xfId="0"/>
    <xf numFmtId="0" fontId="0" fillId="25" borderId="0" pivotButton="0" quotePrefix="0" xfId="0"/>
    <xf numFmtId="0" fontId="0" fillId="26" borderId="0" pivotButton="0" quotePrefix="0" xfId="0"/>
    <xf numFmtId="0" fontId="51" fillId="4" borderId="1" applyAlignment="1" pivotButton="0" quotePrefix="0" xfId="0">
      <alignment horizontal="center" vertical="center" wrapText="1"/>
    </xf>
    <xf numFmtId="0" fontId="0" fillId="4" borderId="1" pivotButton="0" quotePrefix="0" xfId="0"/>
    <xf numFmtId="0" fontId="51" fillId="5" borderId="1" applyAlignment="1" pivotButton="0" quotePrefix="0" xfId="0">
      <alignment horizontal="center" vertical="center" wrapText="1"/>
    </xf>
    <xf numFmtId="0" fontId="0" fillId="5" borderId="1" pivotButton="0" quotePrefix="0" xfId="0"/>
    <xf numFmtId="0" fontId="51" fillId="7" borderId="1" applyAlignment="1" pivotButton="0" quotePrefix="0" xfId="0">
      <alignment horizontal="center" vertical="center" wrapText="1"/>
    </xf>
    <xf numFmtId="0" fontId="0" fillId="7" borderId="1" pivotButton="0" quotePrefix="0" xfId="0"/>
    <xf numFmtId="0" fontId="51" fillId="12" borderId="1" applyAlignment="1" pivotButton="0" quotePrefix="0" xfId="0">
      <alignment horizontal="center" vertical="center" wrapText="1"/>
    </xf>
    <xf numFmtId="0" fontId="0" fillId="12" borderId="1" pivotButton="0" quotePrefix="0" xfId="0"/>
    <xf numFmtId="0" fontId="53" fillId="10" borderId="1" applyAlignment="1" pivotButton="0" quotePrefix="0" xfId="0">
      <alignment horizontal="center" vertical="center" wrapText="1"/>
    </xf>
    <xf numFmtId="0" fontId="0" fillId="10" borderId="1" pivotButton="0" quotePrefix="0" xfId="0"/>
    <xf numFmtId="0" fontId="54" fillId="17" borderId="1" applyAlignment="1" pivotButton="0" quotePrefix="0" xfId="0">
      <alignment horizontal="center" vertical="center" wrapText="1"/>
    </xf>
    <xf numFmtId="0" fontId="0" fillId="17" borderId="1" pivotButton="0" quotePrefix="0" xfId="0"/>
    <xf numFmtId="0" fontId="55" fillId="18" borderId="1" applyAlignment="1" pivotButton="0" quotePrefix="0" xfId="0">
      <alignment horizontal="center" vertical="center" wrapText="1"/>
    </xf>
    <xf numFmtId="0" fontId="0" fillId="18" borderId="1" pivotButton="0" quotePrefix="0" xfId="0"/>
    <xf numFmtId="0" fontId="56" fillId="19" borderId="1" applyAlignment="1" pivotButton="0" quotePrefix="0" xfId="0">
      <alignment horizontal="center" vertical="center" wrapText="1"/>
    </xf>
    <xf numFmtId="0" fontId="0" fillId="19" borderId="1" pivotButton="0" quotePrefix="0" xfId="0"/>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2" borderId="1" pivotButton="0" quotePrefix="0" xfId="0"/>
    <xf numFmtId="0" fontId="10" fillId="4" borderId="1" applyAlignment="1" pivotButton="0" quotePrefix="0" xfId="0">
      <alignment horizontal="center" vertical="center" wrapText="1"/>
    </xf>
    <xf numFmtId="0" fontId="0" fillId="8" borderId="1" pivotButton="0" quotePrefix="0" xfId="0"/>
    <xf numFmtId="0" fontId="20" fillId="8" borderId="1" applyAlignment="1" pivotButton="0" quotePrefix="0" xfId="0">
      <alignment horizontal="left" vertical="center" wrapText="1"/>
    </xf>
    <xf numFmtId="2" fontId="29" fillId="21" borderId="1" applyAlignment="1" pivotButton="0" quotePrefix="0" xfId="0">
      <alignment horizontal="center" vertical="center" wrapText="1"/>
    </xf>
    <xf numFmtId="0" fontId="0" fillId="21" borderId="1" pivotButton="0" quotePrefix="0" xfId="0"/>
    <xf numFmtId="0" fontId="10" fillId="7" borderId="1" applyAlignment="1" pivotButton="0" quotePrefix="0" xfId="0">
      <alignment horizontal="center" vertical="center" wrapText="1"/>
    </xf>
    <xf numFmtId="2" fontId="19" fillId="23" borderId="1" applyAlignment="1" pivotButton="0" quotePrefix="0" xfId="0">
      <alignment horizontal="center" vertical="center" wrapText="1"/>
    </xf>
    <xf numFmtId="0" fontId="0" fillId="23" borderId="1" pivotButton="0" quotePrefix="0" xfId="0"/>
    <xf numFmtId="0" fontId="9" fillId="11"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25" borderId="1" applyAlignment="1" pivotButton="0" quotePrefix="0" xfId="0">
      <alignment horizontal="center" vertical="center" wrapText="1"/>
    </xf>
    <xf numFmtId="0" fontId="10" fillId="26" borderId="1" applyAlignment="1" pivotButton="0" quotePrefix="0" xfId="0">
      <alignment horizontal="center" vertical="center" wrapText="1"/>
    </xf>
    <xf numFmtId="0" fontId="10" fillId="3" borderId="1" applyAlignment="1" pivotButton="0" quotePrefix="0" xfId="0">
      <alignment horizontal="left" vertical="center" wrapText="1"/>
    </xf>
    <xf numFmtId="0" fontId="0" fillId="3" borderId="1" pivotButton="0" quotePrefix="0" xfId="0"/>
    <xf numFmtId="0" fontId="9" fillId="10" borderId="1" applyAlignment="1" pivotButton="0" quotePrefix="0" xfId="0">
      <alignment horizontal="left" vertical="center" wrapText="1"/>
    </xf>
    <xf numFmtId="0" fontId="0" fillId="11" borderId="1" pivotButton="0" quotePrefix="0" xfId="0"/>
    <xf numFmtId="0" fontId="10" fillId="5"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13"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3" borderId="1" applyAlignment="1" pivotButton="0" quotePrefix="0" xfId="0">
      <alignment horizontal="center" vertical="center" wrapText="1"/>
    </xf>
    <xf numFmtId="0" fontId="9"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16" borderId="1" applyAlignment="1" pivotButton="0" quotePrefix="0" xfId="0">
      <alignment horizontal="center" vertical="center" wrapText="1"/>
    </xf>
    <xf numFmtId="0" fontId="4" fillId="10" borderId="1" applyAlignment="1" pivotButton="0" quotePrefix="0" xfId="0">
      <alignment horizontal="center" vertical="center" wrapText="1"/>
    </xf>
    <xf numFmtId="0" fontId="6" fillId="17" borderId="1" applyAlignment="1" pivotButton="0" quotePrefix="0" xfId="0">
      <alignment horizontal="center" vertical="center" wrapText="1"/>
    </xf>
    <xf numFmtId="0" fontId="8" fillId="18" borderId="1" applyAlignment="1" pivotButton="0" quotePrefix="0" xfId="0">
      <alignment horizontal="center" vertical="center" wrapText="1"/>
    </xf>
    <xf numFmtId="0" fontId="14" fillId="19" borderId="1" applyAlignment="1" pivotButton="0" quotePrefix="0" xfId="0">
      <alignment horizontal="center" vertical="center" wrapText="1"/>
    </xf>
    <xf numFmtId="2" fontId="15" fillId="20" borderId="1" applyAlignment="1" pivotButton="0" quotePrefix="0" xfId="0">
      <alignment horizontal="center" vertical="center" wrapText="1"/>
    </xf>
    <xf numFmtId="2" fontId="16" fillId="21" borderId="1" applyAlignment="1" pivotButton="0" quotePrefix="0" xfId="0">
      <alignment horizontal="center" vertical="center" wrapText="1"/>
    </xf>
    <xf numFmtId="0" fontId="17" fillId="22"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23" borderId="1" applyAlignment="1" pivotButton="0" quotePrefix="0" xfId="0">
      <alignment horizontal="center" vertical="center" wrapText="1"/>
    </xf>
    <xf numFmtId="0" fontId="20" fillId="11" borderId="1" applyAlignment="1" pivotButton="0" quotePrefix="0" xfId="0">
      <alignment horizontal="left" vertical="center" wrapText="1"/>
    </xf>
    <xf numFmtId="0" fontId="21" fillId="11" borderId="1" applyAlignment="1" pivotButton="0" quotePrefix="0" xfId="0">
      <alignment horizontal="center" vertical="center" wrapText="1"/>
    </xf>
    <xf numFmtId="0" fontId="22" fillId="24" borderId="1" applyAlignment="1" pivotButton="0" quotePrefix="0" xfId="0">
      <alignment horizontal="center" vertical="center" wrapText="1"/>
    </xf>
    <xf numFmtId="0" fontId="20" fillId="11" borderId="1" applyAlignment="1" pivotButton="0" quotePrefix="0" xfId="0">
      <alignment horizontal="center" vertical="center" wrapText="1"/>
    </xf>
    <xf numFmtId="0" fontId="5" fillId="16" borderId="1" applyAlignment="1" pivotButton="0" quotePrefix="0" xfId="0">
      <alignment horizontal="left" vertical="center" wrapText="1"/>
    </xf>
    <xf numFmtId="0" fontId="0" fillId="16" borderId="1" pivotButton="0" quotePrefix="0" xfId="0"/>
    <xf numFmtId="0" fontId="9" fillId="10" borderId="1" applyAlignment="1" pivotButton="0" quotePrefix="0" xfId="0">
      <alignment horizontal="center" vertical="center" wrapText="1"/>
    </xf>
    <xf numFmtId="0" fontId="5" fillId="16" borderId="1" applyAlignment="1" pivotButton="0" quotePrefix="0" xfId="0">
      <alignment horizontal="center" vertical="center" wrapText="1"/>
    </xf>
    <xf numFmtId="0" fontId="14" fillId="16" borderId="1" applyAlignment="1" pivotButton="0" quotePrefix="0" xfId="0">
      <alignment horizontal="center" vertical="center" wrapText="1"/>
    </xf>
    <xf numFmtId="0" fontId="23" fillId="10" borderId="1" applyAlignment="1" pivotButton="0" quotePrefix="0" xfId="0">
      <alignment horizontal="center" vertical="center" wrapText="1"/>
    </xf>
    <xf numFmtId="0" fontId="24" fillId="10" borderId="1" applyAlignment="1" pivotButton="0" quotePrefix="0" xfId="0">
      <alignment horizontal="left" vertical="center" wrapText="1"/>
    </xf>
    <xf numFmtId="0" fontId="25" fillId="27" borderId="1" applyAlignment="1" pivotButton="0" quotePrefix="0" xfId="0">
      <alignment horizontal="center" vertical="center" wrapText="1"/>
    </xf>
    <xf numFmtId="0" fontId="26" fillId="17" borderId="1" applyAlignment="1" pivotButton="0" quotePrefix="0" xfId="0">
      <alignment horizontal="center" vertical="center" wrapText="1"/>
    </xf>
    <xf numFmtId="0" fontId="27" fillId="10" borderId="1" applyAlignment="1" pivotButton="0" quotePrefix="0" xfId="0">
      <alignment horizontal="center" vertical="center" wrapText="1"/>
    </xf>
    <xf numFmtId="0" fontId="28" fillId="18" borderId="1" applyAlignment="1" pivotButton="0" quotePrefix="0" xfId="0">
      <alignment horizontal="center" vertical="center" wrapText="1"/>
    </xf>
    <xf numFmtId="0" fontId="29" fillId="19" borderId="1" applyAlignment="1" pivotButton="0" quotePrefix="0" xfId="0">
      <alignment horizontal="center" vertical="center" wrapText="1"/>
    </xf>
    <xf numFmtId="0" fontId="30" fillId="20" borderId="1" applyAlignment="1" pivotButton="0" quotePrefix="0" xfId="0">
      <alignment horizontal="center" vertical="center" wrapText="1"/>
    </xf>
    <xf numFmtId="0" fontId="31" fillId="28" borderId="1" applyAlignment="1" pivotButton="0" quotePrefix="0" xfId="0">
      <alignment horizontal="center" vertical="center" wrapText="1"/>
    </xf>
    <xf numFmtId="0" fontId="32" fillId="29" borderId="1" applyAlignment="1" pivotButton="0" quotePrefix="0" xfId="0">
      <alignment horizontal="center" vertical="center" wrapText="1"/>
    </xf>
    <xf numFmtId="0" fontId="33" fillId="22" borderId="1" applyAlignment="1" pivotButton="0" quotePrefix="0" xfId="0">
      <alignment horizontal="center" vertical="center" wrapText="1"/>
    </xf>
    <xf numFmtId="0" fontId="5" fillId="27" borderId="1" applyAlignment="1" pivotButton="0" quotePrefix="0" xfId="0">
      <alignment horizontal="center" vertical="center" wrapText="1"/>
    </xf>
    <xf numFmtId="0" fontId="11" fillId="25" borderId="1" applyAlignment="1" pivotButton="0" quotePrefix="0" xfId="0">
      <alignment horizontal="center" vertical="center" wrapText="1"/>
    </xf>
    <xf numFmtId="0" fontId="11" fillId="26" borderId="1" applyAlignment="1" pivotButton="0" quotePrefix="0" xfId="0">
      <alignment horizontal="center" vertical="center" wrapText="1"/>
    </xf>
    <xf numFmtId="0" fontId="34" fillId="17" borderId="1" applyAlignment="1" pivotButton="0" quotePrefix="0" xfId="0">
      <alignment horizontal="center" vertical="center" wrapText="1"/>
    </xf>
    <xf numFmtId="0" fontId="24" fillId="10" borderId="1" applyAlignment="1" pivotButton="0" quotePrefix="0" xfId="0">
      <alignment horizontal="center" vertical="center" wrapText="1"/>
    </xf>
    <xf numFmtId="0" fontId="35" fillId="18" borderId="1" applyAlignment="1" pivotButton="0" quotePrefix="0" xfId="0">
      <alignment horizontal="center" vertical="center" wrapText="1"/>
    </xf>
    <xf numFmtId="0" fontId="36" fillId="19" borderId="1" applyAlignment="1" pivotButton="0" quotePrefix="0" xfId="0">
      <alignment horizontal="center" vertical="center" wrapText="1"/>
    </xf>
    <xf numFmtId="0" fontId="37" fillId="20" borderId="1" applyAlignment="1" pivotButton="0" quotePrefix="0" xfId="0">
      <alignment horizontal="center" vertical="center" wrapText="1"/>
    </xf>
    <xf numFmtId="0" fontId="38" fillId="23" borderId="1" applyAlignment="1" pivotButton="0" quotePrefix="0" xfId="0">
      <alignment horizontal="center" vertical="center" wrapText="1"/>
    </xf>
    <xf numFmtId="0" fontId="39" fillId="24" borderId="1" applyAlignment="1" pivotButton="0" quotePrefix="0" xfId="0">
      <alignment horizontal="center" vertical="center" wrapText="1"/>
    </xf>
    <xf numFmtId="0" fontId="40" fillId="28" borderId="1" applyAlignment="1" pivotButton="0" quotePrefix="0" xfId="0">
      <alignment horizontal="center" vertical="center" wrapText="1"/>
    </xf>
    <xf numFmtId="0" fontId="41" fillId="29" borderId="1" applyAlignment="1" pivotButton="0" quotePrefix="0" xfId="0">
      <alignment horizontal="center" vertical="center" wrapText="1"/>
    </xf>
    <xf numFmtId="0" fontId="42" fillId="22" borderId="1" applyAlignment="1" pivotButton="0" quotePrefix="0" xfId="0">
      <alignment horizontal="center" vertical="center" wrapText="1"/>
    </xf>
    <xf numFmtId="0" fontId="43" fillId="11" borderId="1" applyAlignment="1" pivotButton="0" quotePrefix="0" xfId="0">
      <alignment horizontal="center" vertical="center" wrapText="1"/>
    </xf>
    <xf numFmtId="0" fontId="16" fillId="21" borderId="1" applyAlignment="1" pivotButton="0" quotePrefix="0" xfId="0">
      <alignment horizontal="center" vertical="center" wrapText="1"/>
    </xf>
    <xf numFmtId="0" fontId="44" fillId="11" borderId="1" applyAlignment="1" pivotButton="0" quotePrefix="0" xfId="0">
      <alignment horizontal="center" vertical="center" wrapText="1"/>
    </xf>
    <xf numFmtId="0" fontId="34" fillId="17" borderId="1" applyAlignment="1" pivotButton="0" quotePrefix="0" xfId="0">
      <alignment horizontal="left" vertical="center" wrapText="1"/>
    </xf>
    <xf numFmtId="0" fontId="35" fillId="18" borderId="1" applyAlignment="1" pivotButton="0" quotePrefix="0" xfId="0">
      <alignment horizontal="left" vertical="center" wrapText="1"/>
    </xf>
    <xf numFmtId="0" fontId="44" fillId="8" borderId="1" applyAlignment="1" pivotButton="0" quotePrefix="0" xfId="0">
      <alignment horizontal="left" vertical="center" wrapText="1"/>
    </xf>
    <xf numFmtId="0" fontId="45" fillId="8" borderId="1" applyAlignment="1" pivotButton="0" quotePrefix="0" xfId="0">
      <alignment horizontal="left" vertical="center" wrapText="1"/>
    </xf>
    <xf numFmtId="0" fontId="4" fillId="16" borderId="1" applyAlignment="1" pivotButton="0" quotePrefix="0" xfId="0">
      <alignment horizontal="center" vertical="center" wrapText="1"/>
    </xf>
    <xf numFmtId="0" fontId="6" fillId="30" borderId="1" applyAlignment="1" pivotButton="0" quotePrefix="0" xfId="0">
      <alignment horizontal="center" vertical="center" wrapText="1"/>
    </xf>
    <xf numFmtId="0" fontId="7" fillId="16" borderId="1" applyAlignment="1" pivotButton="0" quotePrefix="0" xfId="0">
      <alignment horizontal="center" vertical="center" wrapText="1"/>
    </xf>
    <xf numFmtId="0" fontId="8" fillId="30" borderId="1" applyAlignment="1" pivotButton="0" quotePrefix="0" xfId="0">
      <alignment horizontal="center" vertical="center" wrapText="1"/>
    </xf>
    <xf numFmtId="0" fontId="46" fillId="30" borderId="1" applyAlignment="1" pivotButton="0" quotePrefix="0" xfId="0">
      <alignment horizontal="center" vertical="center" wrapText="1"/>
    </xf>
    <xf numFmtId="0" fontId="15" fillId="16" borderId="1" applyAlignment="1" pivotButton="0" quotePrefix="0" xfId="0">
      <alignment horizontal="center" vertical="center" wrapText="1"/>
    </xf>
    <xf numFmtId="0" fontId="47" fillId="30" borderId="1" applyAlignment="1" pivotButton="0" quotePrefix="0" xfId="0">
      <alignment horizontal="center" vertical="center" wrapText="1"/>
    </xf>
    <xf numFmtId="0" fontId="48" fillId="16" borderId="1" applyAlignment="1" pivotButton="0" quotePrefix="0" xfId="0">
      <alignment horizontal="center" vertical="center" wrapText="1"/>
    </xf>
    <xf numFmtId="0" fontId="4" fillId="30" borderId="1" applyAlignment="1" pivotButton="0" quotePrefix="0" xfId="0">
      <alignment horizontal="center" vertical="center" wrapText="1"/>
    </xf>
    <xf numFmtId="0" fontId="6" fillId="16" borderId="1" applyAlignment="1" pivotButton="0" quotePrefix="0" xfId="0">
      <alignment horizontal="center" vertical="center" wrapText="1"/>
    </xf>
    <xf numFmtId="0" fontId="7" fillId="30" borderId="1" applyAlignment="1" pivotButton="0" quotePrefix="0" xfId="0">
      <alignment horizontal="center" vertical="center" wrapText="1"/>
    </xf>
    <xf numFmtId="0" fontId="8" fillId="16" borderId="1" applyAlignment="1" pivotButton="0" quotePrefix="0" xfId="0">
      <alignment horizontal="center" vertical="center" wrapText="1"/>
    </xf>
    <xf numFmtId="0" fontId="14" fillId="30" borderId="1" applyAlignment="1" pivotButton="0" quotePrefix="0" xfId="0">
      <alignment horizontal="center" vertical="center" wrapText="1"/>
    </xf>
    <xf numFmtId="0" fontId="46" fillId="16" borderId="1" applyAlignment="1" pivotButton="0" quotePrefix="0" xfId="0">
      <alignment horizontal="center" vertical="center" wrapText="1"/>
    </xf>
    <xf numFmtId="0" fontId="15" fillId="30" borderId="1" applyAlignment="1" pivotButton="0" quotePrefix="0" xfId="0">
      <alignment horizontal="center" vertical="center" wrapText="1"/>
    </xf>
    <xf numFmtId="0" fontId="47" fillId="16" borderId="1" applyAlignment="1" pivotButton="0" quotePrefix="0" xfId="0">
      <alignment horizontal="center" vertical="center" wrapText="1"/>
    </xf>
    <xf numFmtId="0" fontId="48" fillId="30" borderId="1" applyAlignment="1" pivotButton="0" quotePrefix="0" xfId="0">
      <alignment horizontal="center" vertical="center" wrapText="1"/>
    </xf>
    <xf numFmtId="0" fontId="49" fillId="11" borderId="1" applyAlignment="1" pivotButton="0" quotePrefix="0" xfId="0">
      <alignment horizontal="center" vertical="center" wrapText="1"/>
    </xf>
    <xf numFmtId="0" fontId="25" fillId="27" borderId="1" applyAlignment="1" pivotButton="0" quotePrefix="0" xfId="0">
      <alignment horizontal="left" vertical="center" wrapText="1"/>
    </xf>
    <xf numFmtId="164" fontId="50" fillId="27" borderId="1" applyAlignment="1" pivotButton="0" quotePrefix="0" xfId="0">
      <alignment horizontal="center" vertical="center" wrapText="1"/>
    </xf>
    <xf numFmtId="0" fontId="15" fillId="11" borderId="1" applyAlignment="1" pivotButton="0" quotePrefix="0" xfId="0">
      <alignment horizontal="center" vertical="center" wrapText="1"/>
    </xf>
    <xf numFmtId="0" fontId="15" fillId="20" borderId="1" applyAlignment="1" pivotButton="0" quotePrefix="0" xfId="0">
      <alignment horizontal="center" vertical="center" wrapText="1"/>
    </xf>
    <xf numFmtId="0" fontId="46" fillId="23" borderId="1" applyAlignment="1" pivotButton="0" quotePrefix="0" xfId="0">
      <alignment horizontal="center" vertical="center" wrapText="1"/>
    </xf>
    <xf numFmtId="0" fontId="47" fillId="28" borderId="1" applyAlignment="1" pivotButton="0" quotePrefix="0" xfId="0">
      <alignment horizontal="center" vertical="center" wrapText="1"/>
    </xf>
    <xf numFmtId="0" fontId="7" fillId="24" borderId="1" applyAlignment="1" pivotButton="0" quotePrefix="0" xfId="0">
      <alignment horizontal="center" vertical="center" wrapText="1"/>
    </xf>
    <xf numFmtId="0" fontId="48" fillId="29" borderId="1" applyAlignment="1" pivotButton="0" quotePrefix="0" xfId="0">
      <alignment horizontal="center" vertical="center" wrapText="1"/>
    </xf>
    <xf numFmtId="0" fontId="49" fillId="11" borderId="1" applyAlignment="1" pivotButton="0" quotePrefix="0" xfId="0">
      <alignment horizontal="left" vertical="center" wrapText="1"/>
    </xf>
    <xf numFmtId="0" fontId="51" fillId="2" borderId="1" applyAlignment="1" pivotButton="0" quotePrefix="0" xfId="0">
      <alignment horizontal="center" vertical="center" wrapText="1"/>
    </xf>
    <xf numFmtId="2" fontId="6" fillId="17" borderId="1" applyAlignment="1" pivotButton="0" quotePrefix="0" xfId="0">
      <alignment horizontal="center" vertical="center" wrapText="1"/>
    </xf>
    <xf numFmtId="2" fontId="14" fillId="19" borderId="1" applyAlignment="1" pivotButton="0" quotePrefix="0" xfId="0">
      <alignment horizontal="center" vertical="center" wrapText="1"/>
    </xf>
    <xf numFmtId="0" fontId="24" fillId="11" borderId="1" applyAlignment="1" pivotButton="0" quotePrefix="0" xfId="0">
      <alignment horizontal="center" vertical="center" wrapText="1"/>
    </xf>
    <xf numFmtId="0" fontId="9" fillId="17" borderId="1" applyAlignment="1" pivotButton="0" quotePrefix="0" xfId="0">
      <alignment horizontal="left" vertical="center" wrapText="1"/>
    </xf>
    <xf numFmtId="0" fontId="34" fillId="11" borderId="1" applyAlignment="1" pivotButton="0" quotePrefix="0" xfId="0">
      <alignment horizontal="center" vertical="center" wrapText="1"/>
    </xf>
    <xf numFmtId="0" fontId="9" fillId="24" borderId="1" applyAlignment="1" pivotButton="0" quotePrefix="0" xfId="0">
      <alignment horizontal="left" vertical="center" wrapText="1"/>
    </xf>
    <xf numFmtId="0" fontId="39" fillId="11" borderId="1" applyAlignment="1" pivotButton="0" quotePrefix="0" xfId="0">
      <alignment horizontal="center" vertical="center" wrapText="1"/>
    </xf>
    <xf numFmtId="0" fontId="9" fillId="18" borderId="1" applyAlignment="1" pivotButton="0" quotePrefix="0" xfId="0">
      <alignment horizontal="left" vertical="center" wrapText="1"/>
    </xf>
    <xf numFmtId="0" fontId="35" fillId="11" borderId="1" applyAlignment="1" pivotButton="0" quotePrefix="0" xfId="0">
      <alignment horizontal="center" vertical="center" wrapText="1"/>
    </xf>
    <xf numFmtId="0" fontId="9" fillId="19" borderId="1" applyAlignment="1" pivotButton="0" quotePrefix="0" xfId="0">
      <alignment horizontal="left" vertical="center" wrapText="1"/>
    </xf>
    <xf numFmtId="0" fontId="36" fillId="11" borderId="1" applyAlignment="1" pivotButton="0" quotePrefix="0" xfId="0">
      <alignment horizontal="center" vertical="center" wrapText="1"/>
    </xf>
    <xf numFmtId="0" fontId="9" fillId="23" borderId="1" applyAlignment="1" pivotButton="0" quotePrefix="0" xfId="0">
      <alignment horizontal="left" vertical="center" wrapText="1"/>
    </xf>
    <xf numFmtId="0" fontId="38" fillId="11" borderId="1" applyAlignment="1" pivotButton="0" quotePrefix="0" xfId="0">
      <alignment horizontal="center" vertical="center" wrapText="1"/>
    </xf>
    <xf numFmtId="0" fontId="9" fillId="20" borderId="1" applyAlignment="1" pivotButton="0" quotePrefix="0" xfId="0">
      <alignment horizontal="left" vertical="center" wrapText="1"/>
    </xf>
    <xf numFmtId="0" fontId="37" fillId="11" borderId="1" applyAlignment="1" pivotButton="0" quotePrefix="0" xfId="0">
      <alignment horizontal="center" vertical="center" wrapText="1"/>
    </xf>
    <xf numFmtId="0" fontId="9" fillId="28" borderId="1" applyAlignment="1" pivotButton="0" quotePrefix="0" xfId="0">
      <alignment horizontal="left" vertical="center" wrapText="1"/>
    </xf>
    <xf numFmtId="0" fontId="40" fillId="11" borderId="1" applyAlignment="1" pivotButton="0" quotePrefix="0" xfId="0">
      <alignment horizontal="center" vertical="center" wrapText="1"/>
    </xf>
    <xf numFmtId="0" fontId="9" fillId="29" borderId="1" applyAlignment="1" pivotButton="0" quotePrefix="0" xfId="0">
      <alignment horizontal="left" vertical="center" wrapText="1"/>
    </xf>
    <xf numFmtId="0" fontId="41" fillId="11" borderId="1" applyAlignment="1" pivotButton="0" quotePrefix="0" xfId="0">
      <alignment horizontal="center" vertical="center" wrapText="1"/>
    </xf>
    <xf numFmtId="0" fontId="52" fillId="11" borderId="1" applyAlignment="1" pivotButton="0" quotePrefix="0" xfId="0">
      <alignment horizontal="center" vertical="center" wrapText="1"/>
    </xf>
  </cellXfs>
  <cellStyles count="1">
    <cellStyle name="Normal" xfId="0" builtinId="0" hidden="0"/>
  </cellStyles>
  <dxfs count="8">
    <dxf>
      <font>
        <name val="Arial"/>
        <b val="1"/>
        <color rgb="000F1B33"/>
      </font>
      <fill>
        <patternFill patternType="solid">
          <fgColor rgb="00F3D64E"/>
          <bgColor rgb="00F3D64E"/>
        </patternFill>
      </fill>
    </dxf>
    <dxf>
      <font>
        <name val="Arial"/>
        <b val="1"/>
        <color rgb="000F1B33"/>
      </font>
      <fill>
        <patternFill patternType="solid">
          <fgColor rgb="00DDE2EA"/>
          <bgColor rgb="00DDE2EA"/>
        </patternFill>
      </fill>
    </dxf>
    <dxf>
      <font>
        <name val="Arial"/>
        <b val="1"/>
        <color rgb="000F1B33"/>
      </font>
      <fill>
        <patternFill patternType="solid">
          <fgColor rgb="00F0C9A0"/>
          <bgColor rgb="00F0C9A0"/>
        </patternFill>
      </fill>
    </dxf>
    <dxf>
      <font>
        <name val="Arial"/>
        <b val="1"/>
        <color rgb="001B5E20"/>
      </font>
      <fill>
        <patternFill patternType="solid">
          <fgColor rgb="00D5EBD0"/>
          <bgColor rgb="00D5EBD0"/>
        </patternFill>
      </fill>
    </dxf>
    <dxf>
      <font>
        <name val="Arial"/>
        <b val="1"/>
        <color rgb="007A4B00"/>
      </font>
      <fill>
        <patternFill patternType="solid">
          <fgColor rgb="00FDE3B0"/>
          <bgColor rgb="00FDE3B0"/>
        </patternFill>
      </fill>
    </dxf>
    <dxf>
      <font>
        <name val="Arial"/>
        <b val="1"/>
        <color rgb="008B0000"/>
      </font>
      <fill>
        <patternFill patternType="solid">
          <fgColor rgb="00F6CFCF"/>
          <bgColor rgb="00F6CFCF"/>
        </patternFill>
      </fill>
    </dxf>
    <dxf>
      <font>
        <name val="Arial"/>
        <b val="1"/>
        <color rgb="00FFFFFF"/>
      </font>
      <fill>
        <patternFill patternType="solid">
          <fgColor rgb="00DC2626"/>
          <bgColor rgb="00DC2626"/>
        </patternFill>
      </fill>
    </dxf>
    <dxf>
      <font>
        <name val="Arial"/>
        <color rgb="007A4B00"/>
      </font>
      <fill>
        <patternFill patternType="solid">
          <fgColor rgb="00FDE3B0"/>
          <bgColor rgb="00FDE3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Markah akhir panel hakim (disusun ikut kedudukan)</a:t>
            </a:r>
          </a:p>
        </rich>
      </tx>
    </title>
    <plotArea>
      <barChart>
        <barDir val="bar"/>
        <grouping val="clustered"/>
        <ser>
          <idx val="0"/>
          <order val="0"/>
          <spPr>
            <a:solidFill xmlns:a="http://schemas.openxmlformats.org/drawingml/2006/main">
              <a:srgbClr val="DB2777"/>
            </a:solidFill>
            <a:ln xmlns:a="http://schemas.openxmlformats.org/drawingml/2006/main">
              <a:prstDash val="solid"/>
            </a:ln>
          </spPr>
          <dPt>
            <idx val="0"/>
            <spPr>
              <a:solidFill xmlns:a="http://schemas.openxmlformats.org/drawingml/2006/main">
                <a:srgbClr val="DB2777"/>
              </a:solidFill>
              <a:ln xmlns:a="http://schemas.openxmlformats.org/drawingml/2006/main">
                <a:prstDash val="solid"/>
              </a:ln>
            </spPr>
          </dPt>
          <dPt>
            <idx val="1"/>
            <spPr>
              <a:solidFill xmlns:a="http://schemas.openxmlformats.org/drawingml/2006/main">
                <a:srgbClr val="0891B2"/>
              </a:solidFill>
              <a:ln xmlns:a="http://schemas.openxmlformats.org/drawingml/2006/main">
                <a:prstDash val="solid"/>
              </a:ln>
            </spPr>
          </dPt>
          <dPt>
            <idx val="2"/>
            <spPr>
              <a:solidFill xmlns:a="http://schemas.openxmlformats.org/drawingml/2006/main">
                <a:srgbClr val="7C3AED"/>
              </a:solidFill>
              <a:ln xmlns:a="http://schemas.openxmlformats.org/drawingml/2006/main">
                <a:prstDash val="solid"/>
              </a:ln>
            </spPr>
          </dPt>
          <dPt>
            <idx val="3"/>
            <spPr>
              <a:solidFill xmlns:a="http://schemas.openxmlformats.org/drawingml/2006/main">
                <a:srgbClr val="EA580C"/>
              </a:solidFill>
              <a:ln xmlns:a="http://schemas.openxmlformats.org/drawingml/2006/main">
                <a:prstDash val="solid"/>
              </a:ln>
            </spPr>
          </dPt>
          <dPt>
            <idx val="4"/>
            <spPr>
              <a:solidFill xmlns:a="http://schemas.openxmlformats.org/drawingml/2006/main">
                <a:srgbClr val="2563EB"/>
              </a:solidFill>
              <a:ln xmlns:a="http://schemas.openxmlformats.org/drawingml/2006/main">
                <a:prstDash val="solid"/>
              </a:ln>
            </spPr>
          </dPt>
          <dPt>
            <idx val="5"/>
            <spPr>
              <a:solidFill xmlns:a="http://schemas.openxmlformats.org/drawingml/2006/main">
                <a:srgbClr val="059669"/>
              </a:solidFill>
              <a:ln xmlns:a="http://schemas.openxmlformats.org/drawingml/2006/main">
                <a:prstDash val="solid"/>
              </a:ln>
            </spPr>
          </dPt>
          <dPt>
            <idx val="6"/>
            <spPr>
              <a:solidFill xmlns:a="http://schemas.openxmlformats.org/drawingml/2006/main">
                <a:srgbClr val="CA8A04"/>
              </a:solidFill>
              <a:ln xmlns:a="http://schemas.openxmlformats.org/drawingml/2006/main">
                <a:prstDash val="solid"/>
              </a:ln>
            </spPr>
          </dPt>
          <dPt>
            <idx val="7"/>
            <spPr>
              <a:solidFill xmlns:a="http://schemas.openxmlformats.org/drawingml/2006/main">
                <a:srgbClr val="C026D3"/>
              </a:solidFill>
              <a:ln xmlns:a="http://schemas.openxmlformats.org/drawingml/2006/main">
                <a:prstDash val="solid"/>
              </a:ln>
            </spPr>
          </dPt>
          <dPt>
            <idx val="8"/>
            <spPr>
              <a:solidFill xmlns:a="http://schemas.openxmlformats.org/drawingml/2006/main">
                <a:srgbClr val="65A30D"/>
              </a:solidFill>
              <a:ln xmlns:a="http://schemas.openxmlformats.org/drawingml/2006/main">
                <a:prstDash val="solid"/>
              </a:ln>
            </spPr>
          </dPt>
          <dPt>
            <idx val="9"/>
            <spPr>
              <a:solidFill xmlns:a="http://schemas.openxmlformats.org/drawingml/2006/main">
                <a:srgbClr val="DB2777"/>
              </a:solidFill>
              <a:ln xmlns:a="http://schemas.openxmlformats.org/drawingml/2006/main">
                <a:prstDash val="solid"/>
              </a:ln>
            </spPr>
          </dPt>
          <dPt>
            <idx val="10"/>
            <spPr>
              <a:solidFill xmlns:a="http://schemas.openxmlformats.org/drawingml/2006/main">
                <a:srgbClr val="0891B2"/>
              </a:solidFill>
              <a:ln xmlns:a="http://schemas.openxmlformats.org/drawingml/2006/main">
                <a:prstDash val="solid"/>
              </a:ln>
            </spPr>
          </dPt>
          <dPt>
            <idx val="11"/>
            <spPr>
              <a:solidFill xmlns:a="http://schemas.openxmlformats.org/drawingml/2006/main">
                <a:srgbClr val="7C3AED"/>
              </a:solidFill>
              <a:ln xmlns:a="http://schemas.openxmlformats.org/drawingml/2006/main">
                <a:prstDash val="solid"/>
              </a:ln>
            </spPr>
          </dPt>
          <dPt>
            <idx val="12"/>
            <spPr>
              <a:solidFill xmlns:a="http://schemas.openxmlformats.org/drawingml/2006/main">
                <a:srgbClr val="EA580C"/>
              </a:solidFill>
              <a:ln xmlns:a="http://schemas.openxmlformats.org/drawingml/2006/main">
                <a:prstDash val="solid"/>
              </a:ln>
            </spPr>
          </dPt>
          <dPt>
            <idx val="13"/>
            <spPr>
              <a:solidFill xmlns:a="http://schemas.openxmlformats.org/drawingml/2006/main">
                <a:srgbClr val="2563EB"/>
              </a:solidFill>
              <a:ln xmlns:a="http://schemas.openxmlformats.org/drawingml/2006/main">
                <a:prstDash val="solid"/>
              </a:ln>
            </spPr>
          </dPt>
          <dLbls>
            <showLegendKey val="0"/>
            <showVal val="1"/>
            <showCatName val="0"/>
            <showSerName val="0"/>
          </dLbls>
          <cat>
            <numRef>
              <f>'DASHBOARD'!$B$11:$B$24</f>
            </numRef>
          </cat>
          <val>
            <numRef>
              <f>'DASHBOARD'!$G$11:$G$24</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Skor juri awam (pasukan layak sahaja)</a:t>
            </a:r>
          </a:p>
        </rich>
      </tx>
    </title>
    <plotArea>
      <barChart>
        <barDir val="bar"/>
        <grouping val="clustered"/>
        <ser>
          <idx val="0"/>
          <order val="0"/>
          <spPr>
            <a:solidFill xmlns:a="http://schemas.openxmlformats.org/drawingml/2006/main">
              <a:srgbClr val="65A30D"/>
            </a:solidFill>
            <a:ln xmlns:a="http://schemas.openxmlformats.org/drawingml/2006/main">
              <a:prstDash val="solid"/>
            </a:ln>
          </spPr>
          <dPt>
            <idx val="0"/>
            <spPr>
              <a:solidFill xmlns:a="http://schemas.openxmlformats.org/drawingml/2006/main">
                <a:srgbClr val="65A30D"/>
              </a:solidFill>
              <a:ln xmlns:a="http://schemas.openxmlformats.org/drawingml/2006/main">
                <a:prstDash val="solid"/>
              </a:ln>
            </spPr>
          </dPt>
          <dPt>
            <idx val="1"/>
            <spPr>
              <a:solidFill xmlns:a="http://schemas.openxmlformats.org/drawingml/2006/main">
                <a:srgbClr val="C026D3"/>
              </a:solidFill>
              <a:ln xmlns:a="http://schemas.openxmlformats.org/drawingml/2006/main">
                <a:prstDash val="solid"/>
              </a:ln>
            </spPr>
          </dPt>
          <dPt>
            <idx val="2"/>
            <spPr>
              <a:solidFill xmlns:a="http://schemas.openxmlformats.org/drawingml/2006/main">
                <a:srgbClr val="CA8A04"/>
              </a:solidFill>
              <a:ln xmlns:a="http://schemas.openxmlformats.org/drawingml/2006/main">
                <a:prstDash val="solid"/>
              </a:ln>
            </spPr>
          </dPt>
          <dPt>
            <idx val="3"/>
            <spPr>
              <a:solidFill xmlns:a="http://schemas.openxmlformats.org/drawingml/2006/main">
                <a:srgbClr val="059669"/>
              </a:solidFill>
              <a:ln xmlns:a="http://schemas.openxmlformats.org/drawingml/2006/main">
                <a:prstDash val="solid"/>
              </a:ln>
            </spPr>
          </dPt>
          <dPt>
            <idx val="4"/>
            <spPr>
              <a:solidFill xmlns:a="http://schemas.openxmlformats.org/drawingml/2006/main">
                <a:srgbClr val="2563EB"/>
              </a:solidFill>
              <a:ln xmlns:a="http://schemas.openxmlformats.org/drawingml/2006/main">
                <a:prstDash val="solid"/>
              </a:ln>
            </spPr>
          </dPt>
          <dPt>
            <idx val="5"/>
            <spPr>
              <a:solidFill xmlns:a="http://schemas.openxmlformats.org/drawingml/2006/main">
                <a:srgbClr val="EA580C"/>
              </a:solidFill>
              <a:ln xmlns:a="http://schemas.openxmlformats.org/drawingml/2006/main">
                <a:prstDash val="solid"/>
              </a:ln>
            </spPr>
          </dPt>
          <dPt>
            <idx val="6"/>
            <spPr>
              <a:solidFill xmlns:a="http://schemas.openxmlformats.org/drawingml/2006/main">
                <a:srgbClr val="7C3AED"/>
              </a:solidFill>
              <a:ln xmlns:a="http://schemas.openxmlformats.org/drawingml/2006/main">
                <a:prstDash val="solid"/>
              </a:ln>
            </spPr>
          </dPt>
          <dPt>
            <idx val="7"/>
            <spPr>
              <a:solidFill xmlns:a="http://schemas.openxmlformats.org/drawingml/2006/main">
                <a:srgbClr val="0891B2"/>
              </a:solidFill>
              <a:ln xmlns:a="http://schemas.openxmlformats.org/drawingml/2006/main">
                <a:prstDash val="solid"/>
              </a:ln>
            </spPr>
          </dPt>
          <dPt>
            <idx val="8"/>
            <spPr>
              <a:solidFill xmlns:a="http://schemas.openxmlformats.org/drawingml/2006/main">
                <a:srgbClr val="DB2777"/>
              </a:solidFill>
              <a:ln xmlns:a="http://schemas.openxmlformats.org/drawingml/2006/main">
                <a:prstDash val="solid"/>
              </a:ln>
            </spPr>
          </dPt>
          <dPt>
            <idx val="9"/>
            <spPr>
              <a:solidFill xmlns:a="http://schemas.openxmlformats.org/drawingml/2006/main">
                <a:srgbClr val="65A30D"/>
              </a:solidFill>
              <a:ln xmlns:a="http://schemas.openxmlformats.org/drawingml/2006/main">
                <a:prstDash val="solid"/>
              </a:ln>
            </spPr>
          </dPt>
          <dPt>
            <idx val="10"/>
            <spPr>
              <a:solidFill xmlns:a="http://schemas.openxmlformats.org/drawingml/2006/main">
                <a:srgbClr val="C026D3"/>
              </a:solidFill>
              <a:ln xmlns:a="http://schemas.openxmlformats.org/drawingml/2006/main">
                <a:prstDash val="solid"/>
              </a:ln>
            </spPr>
          </dPt>
          <dPt>
            <idx val="11"/>
            <spPr>
              <a:solidFill xmlns:a="http://schemas.openxmlformats.org/drawingml/2006/main">
                <a:srgbClr val="CA8A04"/>
              </a:solidFill>
              <a:ln xmlns:a="http://schemas.openxmlformats.org/drawingml/2006/main">
                <a:prstDash val="solid"/>
              </a:ln>
            </spPr>
          </dPt>
          <dPt>
            <idx val="12"/>
            <spPr>
              <a:solidFill xmlns:a="http://schemas.openxmlformats.org/drawingml/2006/main">
                <a:srgbClr val="059669"/>
              </a:solidFill>
              <a:ln xmlns:a="http://schemas.openxmlformats.org/drawingml/2006/main">
                <a:prstDash val="solid"/>
              </a:ln>
            </spPr>
          </dPt>
          <dPt>
            <idx val="13"/>
            <spPr>
              <a:solidFill xmlns:a="http://schemas.openxmlformats.org/drawingml/2006/main">
                <a:srgbClr val="2563EB"/>
              </a:solidFill>
              <a:ln xmlns:a="http://schemas.openxmlformats.org/drawingml/2006/main">
                <a:prstDash val="solid"/>
              </a:ln>
            </spPr>
          </dPt>
          <dLbls>
            <showLegendKey val="0"/>
            <showVal val="1"/>
            <showCatName val="0"/>
            <showSerName val="0"/>
          </dLbls>
          <cat>
            <numRef>
              <f>'DASHBOARD'!$K$11:$K$24</f>
            </numRef>
          </cat>
          <val>
            <numRef>
              <f>'DASHBOARD'!$N$11:$N$24</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26</row>
      <rowOff>0</rowOff>
    </from>
    <ext cx="612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26</row>
      <rowOff>0</rowOff>
    </from>
    <ext cx="612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7C3AED"/>
    <outlinePr summaryBelow="1" summaryRight="1"/>
    <pageSetUpPr fitToPage="1"/>
  </sheetPr>
  <dimension ref="A1:D29"/>
  <sheetViews>
    <sheetView showGridLines="0" workbookViewId="0">
      <selection activeCell="A1" sqref="A1"/>
    </sheetView>
  </sheetViews>
  <sheetFormatPr baseColWidth="8" defaultRowHeight="15"/>
  <cols>
    <col width="2" customWidth="1" min="1" max="1"/>
    <col width="7" customWidth="1" min="2" max="2"/>
    <col width="26" customWidth="1" min="3" max="3"/>
    <col width="108" customWidth="1" min="4" max="4"/>
  </cols>
  <sheetData>
    <row r="1" ht="32" customHeight="1">
      <c r="A1" s="1" t="inlineStr">
        <is>
          <t>RUMUSAN URUSETIA KEHAKIMAN  |  CDKK @FESMA 2026  |  PANDUAN</t>
        </is>
      </c>
      <c r="B1" s="2" t="n"/>
      <c r="C1" s="2" t="n"/>
      <c r="D1" s="2" t="n"/>
    </row>
    <row r="2" ht="24" customHeight="1">
      <c r="A2" s="3" t="inlineStr">
        <is>
          <t>Baca panduan ini sekali sebelum guna. Sel KUNING = isi/pilih. Sel BIRU = formula, jangan taip.</t>
        </is>
      </c>
      <c r="B2" s="4" t="n"/>
      <c r="C2" s="4" t="n"/>
      <c r="D2" s="4" t="n"/>
    </row>
    <row r="3" ht="6" customHeight="1">
      <c r="A3" s="5" t="n"/>
      <c r="B3" s="6" t="n"/>
      <c r="C3" s="7" t="n"/>
      <c r="D3" s="8" t="n"/>
    </row>
    <row r="5" ht="26" customHeight="1">
      <c r="B5" s="9" t="inlineStr">
        <is>
          <t>TUJUAN</t>
        </is>
      </c>
      <c r="C5" s="5" t="n"/>
      <c r="D5" s="5" t="n"/>
    </row>
    <row r="6" ht="51" customHeight="1">
      <c r="B6" s="10" t="inlineStr">
        <is>
          <t>A</t>
        </is>
      </c>
      <c r="C6" s="11" t="inlineStr">
        <is>
          <t>Fungsi fail</t>
        </is>
      </c>
      <c r="D6" s="12" t="inlineStr">
        <is>
          <t>Mengumpul markah tiga hakim dan skor 25 juri awam daripada borang Google Sheet alternatif, mengira purata, sisihan, kedudukan dan pecah seri secara automatik, dan menyokong pengesahan dua Urusetia Kehakiman (GP 15.6).</t>
        </is>
      </c>
    </row>
    <row r="7" ht="51" customHeight="1">
      <c r="B7" s="10" t="inlineStr">
        <is>
          <t>B</t>
        </is>
      </c>
      <c r="C7" s="13" t="inlineStr">
        <is>
          <t>Siapa boleh buka</t>
        </is>
      </c>
      <c r="D7" s="14" t="inlineStr">
        <is>
          <t>Hanya Urusetia Kehakiman dan Ketua Hakim. Jangan kongsi kepada hakim atau juri lain.</t>
        </is>
      </c>
    </row>
    <row r="8" ht="51" customHeight="1">
      <c r="B8" s="10" t="inlineStr">
        <is>
          <t>C</t>
        </is>
      </c>
      <c r="C8" s="11" t="inlineStr">
        <is>
          <t>Hubungan dengan Portal</t>
        </is>
      </c>
      <c r="D8" s="12" t="inlineStr">
        <is>
          <t>Fail ini tidak bersambung dengan Apps Script dan tidak menggantikan Konsol Kehakiman melainkan Portal tidak boleh digunakan.</t>
        </is>
      </c>
    </row>
    <row r="10" ht="26" customHeight="1">
      <c r="B10" s="15" t="inlineStr">
        <is>
          <t>ALIRAN KERJA</t>
        </is>
      </c>
      <c r="C10" s="6" t="n"/>
      <c r="D10" s="6" t="n"/>
    </row>
    <row r="11" ht="51" customHeight="1">
      <c r="B11" s="16" t="inlineStr">
        <is>
          <t>1</t>
        </is>
      </c>
      <c r="C11" s="17" t="inlineStr">
        <is>
          <t>Markah hakim</t>
        </is>
      </c>
      <c r="D11" s="12" t="inlineStr">
        <is>
          <t>Bila borang hakim berstatus SEDIA DISERAH, buka tab SALIN borang itu, salin A5:M18 dan tampal NILAI SAHAJA ke sel A6 pada tab HAKIM_H1, H2 atau H3. Jika hakim mengisi kertas, taip ke borang hakim dahulu atau terus ke tab HAKIM.</t>
        </is>
      </c>
    </row>
    <row r="12" ht="51" customHeight="1">
      <c r="B12" s="16" t="inlineStr">
        <is>
          <t>2</t>
        </is>
      </c>
      <c r="C12" s="18" t="inlineStr">
        <is>
          <t>Skor juri awam</t>
        </is>
      </c>
      <c r="D12" s="14" t="inlineStr">
        <is>
          <t>Bila borang juri SEDIA DISERAH, salin G9:G22 (lajur JUMLAH) dan tampal NILAI SAHAJA ke lajur juri berkenaan dalam tab JURI (Juri 01 hingga 25), bermula baris 6. Sel kosong = juri tidak mengundi pasukan itu.</t>
        </is>
      </c>
    </row>
    <row r="13" ht="51" customHeight="1">
      <c r="B13" s="16" t="inlineStr">
        <is>
          <t>3</t>
        </is>
      </c>
      <c r="C13" s="17" t="inlineStr">
        <is>
          <t>Tarik diri atau BATAL</t>
        </is>
      </c>
      <c r="D13" s="12" t="inlineStr">
        <is>
          <t>Tukar lajur Status pada tab KEPUTUSAN. Pasukan BATAL mendapat markah akhir 0 dan tidak disusun. Tarik diri dikecualikan.</t>
        </is>
      </c>
    </row>
    <row r="14" ht="51" customHeight="1">
      <c r="B14" s="16" t="inlineStr">
        <is>
          <t>4</t>
        </is>
      </c>
      <c r="C14" s="18" t="inlineStr">
        <is>
          <t>Semak</t>
        </is>
      </c>
      <c r="D14" s="14" t="inlineStr">
        <is>
          <t>Buka tab SEMAKAN: semua lajur Semakan tab HAKIM mesti LENGKAP bagi pasukan aktif dan kiraan semula mesti SAMA.</t>
        </is>
      </c>
    </row>
    <row r="15" ht="51" customHeight="1">
      <c r="B15" s="16" t="inlineStr">
        <is>
          <t>5</t>
        </is>
      </c>
      <c r="C15" s="17" t="inlineStr">
        <is>
          <t>Pengesahan</t>
        </is>
      </c>
      <c r="D15" s="12" t="inlineStr">
        <is>
          <t>Dua Urusetia mengesahkan di bahagian Pengesahan tab KEPUTUSAN. Status bertukar MUKTAMAD hanya bila semua syarat dipenuhi.</t>
        </is>
      </c>
    </row>
    <row r="16" ht="51" customHeight="1">
      <c r="B16" s="16" t="inlineStr">
        <is>
          <t>6</t>
        </is>
      </c>
      <c r="C16" s="18" t="inlineStr">
        <is>
          <t>Lihat keputusan</t>
        </is>
      </c>
      <c r="D16" s="14" t="inlineStr">
        <is>
          <t>Tab DASHBOARD memaparkan kad ringkasan, kedudukan panel hakim, anugerah juri awam dan carta, dikemas kini automatik.</t>
        </is>
      </c>
    </row>
    <row r="18" ht="26" customHeight="1">
      <c r="B18" s="19" t="inlineStr">
        <is>
          <t>PERATURAN PENGIRAAN</t>
        </is>
      </c>
      <c r="C18" s="7" t="n"/>
      <c r="D18" s="7" t="n"/>
    </row>
    <row r="19" ht="51" customHeight="1">
      <c r="B19" s="20" t="inlineStr">
        <is>
          <t>1</t>
        </is>
      </c>
      <c r="C19" s="21" t="inlineStr">
        <is>
          <t>Jumlah seorang hakim</t>
        </is>
      </c>
      <c r="D19" s="12" t="inlineStr">
        <is>
          <t>Sembilan komponen ditolak penalti hakim itu (aset 0 hingga 3, budi bicara 0 hingga 2), tidak kurang daripada 0.</t>
        </is>
      </c>
    </row>
    <row r="20" ht="51" customHeight="1">
      <c r="B20" s="20" t="inlineStr">
        <is>
          <t>2</t>
        </is>
      </c>
      <c r="C20" s="22" t="inlineStr">
        <is>
          <t>Markah akhir</t>
        </is>
      </c>
      <c r="D20" s="14" t="inlineStr">
        <is>
          <t>Purata jumlah KETIGA-TIGA hakim, dibundarkan kepada 2 perpuluhan (sama seperti Portal). Purata hanya dikira bila ketiga-tiga hakim lengkap.</t>
        </is>
      </c>
    </row>
    <row r="21" ht="51" customHeight="1">
      <c r="B21" s="20" t="inlineStr">
        <is>
          <t>3</t>
        </is>
      </c>
      <c r="C21" s="21" t="inlineStr">
        <is>
          <t>Sisihan</t>
        </is>
      </c>
      <c r="D21" s="12" t="inlineStr">
        <is>
          <t>(jumlah tertinggi tolak terendah) / purata x 100. Lebih 20% dibenderakan untuk semakan, bukan untuk pembetulan automatik.</t>
        </is>
      </c>
    </row>
    <row r="22" ht="51" customHeight="1">
      <c r="B22" s="20" t="inlineStr">
        <is>
          <t>4</t>
        </is>
      </c>
      <c r="C22" s="22" t="inlineStr">
        <is>
          <t>Pecah seri</t>
        </is>
      </c>
      <c r="D22" s="14" t="inlineStr">
        <is>
          <t>Markah akhir sama dileraikan ikut jumlah komponen tiga hakim: Kreativiti, Kandungan, Canva, AI, CapCut, Audio, Persembahan, Etika, AURORA. Jika masih sama, panel berbincang dan merekod keputusan.</t>
        </is>
      </c>
    </row>
    <row r="23" ht="51" customHeight="1">
      <c r="B23" s="20" t="inlineStr">
        <is>
          <t>5</t>
        </is>
      </c>
      <c r="C23" s="21" t="inlineStr">
        <is>
          <t>Juri awam</t>
        </is>
      </c>
      <c r="D23" s="12" t="inlineStr">
        <is>
          <t>Sumbangan seorang juri = jumlah tiga aspek / 30 x 4. Skor pasukan = hasil tambah sumbangan semua juri, maksimum 100. Minimum 5 undi untuk layak, lebih 25 undi tidak layak.</t>
        </is>
      </c>
    </row>
    <row r="24" ht="51" customHeight="1">
      <c r="B24" s="20" t="inlineStr">
        <is>
          <t>6</t>
        </is>
      </c>
      <c r="C24" s="22" t="inlineStr">
        <is>
          <t>Anugerah juri</t>
        </is>
      </c>
      <c r="D24" s="14" t="inlineStr">
        <is>
          <t>Anugerah Pilihan Juri Awam berasingan daripada markah hakim dan tidak ditambah kepada markah hakim.</t>
        </is>
      </c>
    </row>
    <row r="26" ht="26" customHeight="1">
      <c r="B26" s="23" t="inlineStr">
        <is>
          <t>PERINGATAN</t>
        </is>
      </c>
      <c r="C26" s="8" t="n"/>
      <c r="D26" s="8" t="n"/>
    </row>
    <row r="27" ht="51" customHeight="1">
      <c r="B27" s="24" t="inlineStr">
        <is>
          <t>1</t>
        </is>
      </c>
      <c r="C27" s="25" t="inlineStr">
        <is>
          <t>Semak baris Maksimum</t>
        </is>
      </c>
      <c r="D27" s="12" t="inlineStr">
        <is>
          <t>Sebelum menampal, pastikan baris Maksimum tab HAKIM menunjukkan 20, 15, 15, 10, 10, 10, 5, 10, 5 (Kandungan 15 markah).</t>
        </is>
      </c>
    </row>
    <row r="28" ht="51" customHeight="1">
      <c r="B28" s="24" t="inlineStr">
        <is>
          <t>2</t>
        </is>
      </c>
      <c r="C28" s="26" t="inlineStr">
        <is>
          <t>Status fail</t>
        </is>
      </c>
      <c r="D28" s="14" t="inlineStr">
        <is>
          <t>Rumusan ini sandaran. Jika Portal CDKK digunakan sebagai sistem utama, keputusan rasmi ialah daripada Konsol Kehakiman.</t>
        </is>
      </c>
    </row>
    <row r="29" ht="51" customHeight="1">
      <c r="B29" s="24" t="inlineStr">
        <is>
          <t>3</t>
        </is>
      </c>
      <c r="C29" s="25" t="inlineStr">
        <is>
          <t>Perlindungan sel</t>
        </is>
      </c>
      <c r="D29" s="12" t="inlineStr">
        <is>
          <t>Tidak dihidupkan. Untuk melindungi sel formula: Data &gt; Lindungi helaian dan julat &gt; Papar amaran apabila mengedit julat ini.</t>
        </is>
      </c>
    </row>
  </sheetData>
  <mergeCells count="6">
    <mergeCell ref="B10:D10"/>
    <mergeCell ref="A1:D1"/>
    <mergeCell ref="B5:D5"/>
    <mergeCell ref="B26:D26"/>
    <mergeCell ref="B18:D18"/>
    <mergeCell ref="A2:D2"/>
  </mergeCell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00F3D64E"/>
    <outlinePr summaryBelow="1" summaryRight="1"/>
    <pageSetUpPr fitToPage="1"/>
  </sheetPr>
  <dimension ref="A1:P26"/>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1" t="inlineStr">
        <is>
          <t>DASHBOARD KEPUTUSAN  |  CDKK @FESMA 2026</t>
        </is>
      </c>
      <c r="B1" s="2" t="n"/>
      <c r="C1" s="2" t="n"/>
      <c r="D1" s="2" t="n"/>
      <c r="E1" s="2" t="n"/>
      <c r="F1" s="2" t="n"/>
      <c r="G1" s="2" t="n"/>
      <c r="H1" s="2" t="n"/>
      <c r="I1" s="2" t="n"/>
      <c r="J1" s="2" t="n"/>
      <c r="K1" s="2" t="n"/>
      <c r="L1" s="2" t="n"/>
      <c r="M1" s="2" t="n"/>
      <c r="N1" s="2" t="n"/>
      <c r="O1" s="2" t="n"/>
      <c r="P1" s="2" t="n"/>
    </row>
    <row r="2" ht="24" customHeight="1">
      <c r="A2" s="3" t="inlineStr">
        <is>
          <t>Dikemas kini automatik daripada tab KEPUTUSAN, JURI dan SEMAKAN. Jangan taip di tab ini.</t>
        </is>
      </c>
      <c r="B2" s="4" t="n"/>
      <c r="C2" s="4" t="n"/>
      <c r="D2" s="4" t="n"/>
      <c r="E2" s="4" t="n"/>
      <c r="F2" s="4" t="n"/>
      <c r="G2" s="4" t="n"/>
      <c r="H2" s="4" t="n"/>
      <c r="I2" s="4" t="n"/>
      <c r="J2" s="4" t="n"/>
      <c r="K2" s="4" t="n"/>
      <c r="L2" s="4" t="n"/>
      <c r="M2" s="4" t="n"/>
      <c r="N2" s="4" t="n"/>
      <c r="O2" s="4" t="n"/>
      <c r="P2" s="4" t="n"/>
    </row>
    <row r="3" ht="6" customHeight="1">
      <c r="A3" s="5" t="n"/>
      <c r="B3" s="6" t="n"/>
      <c r="C3" s="7" t="n"/>
      <c r="D3" s="8" t="n"/>
      <c r="E3" s="27" t="n"/>
      <c r="F3" s="28" t="n"/>
      <c r="G3" s="29" t="n"/>
      <c r="H3" s="30" t="n"/>
      <c r="I3" s="31" t="n"/>
      <c r="J3" s="5" t="n"/>
      <c r="K3" s="6" t="n"/>
      <c r="L3" s="7" t="n"/>
      <c r="M3" s="8" t="n"/>
      <c r="N3" s="27" t="n"/>
      <c r="O3" s="28" t="n"/>
      <c r="P3" s="29" t="n"/>
    </row>
    <row r="4" ht="8" customHeight="1"/>
    <row r="5" ht="26" customHeight="1">
      <c r="A5" s="32" t="inlineStr">
        <is>
          <t>PASUKAN AKTIF</t>
        </is>
      </c>
      <c r="B5" s="33" t="n"/>
      <c r="C5" s="33" t="n"/>
      <c r="D5" s="33" t="n"/>
      <c r="E5" s="34" t="inlineStr">
        <is>
          <t>LENGKAP 3 HAKIM</t>
        </is>
      </c>
      <c r="F5" s="35" t="n"/>
      <c r="G5" s="35" t="n"/>
      <c r="H5" s="35" t="n"/>
      <c r="I5" s="36" t="inlineStr">
        <is>
          <t>JURI AWAM MENGUNDI</t>
        </is>
      </c>
      <c r="J5" s="37" t="n"/>
      <c r="K5" s="37" t="n"/>
      <c r="L5" s="37" t="n"/>
      <c r="M5" s="38" t="inlineStr">
        <is>
          <t>STATUS KEPUTUSAN</t>
        </is>
      </c>
      <c r="N5" s="39" t="n"/>
      <c r="O5" s="39" t="n"/>
      <c r="P5" s="39" t="n"/>
    </row>
    <row r="6" ht="24" customHeight="1">
      <c r="A6" s="40">
        <f>COUNTIF(KEPUTUSAN!D6:D19,"Aktif")</f>
        <v/>
      </c>
      <c r="B6" s="41" t="n"/>
      <c r="C6" s="41" t="n"/>
      <c r="D6" s="41" t="n"/>
      <c r="E6" s="42">
        <f>COUNTIFS(KEPUTUSAN!D6:D19,"Aktif",KEPUTUSAN!H6:H19,3)&amp;" / "&amp;COUNTIF(KEPUTUSAN!D6:D19,"Aktif")</f>
        <v/>
      </c>
      <c r="F6" s="43" t="n"/>
      <c r="G6" s="43" t="n"/>
      <c r="H6" s="43" t="n"/>
      <c r="I6" s="44">
        <f>COUNTIF(JURI!D20:AB20,"&gt;0")&amp;" / 25"</f>
        <v/>
      </c>
      <c r="J6" s="45" t="n"/>
      <c r="K6" s="45" t="n"/>
      <c r="L6" s="45" t="n"/>
      <c r="M6" s="46">
        <f>IF(LEFT(KEPUTUSAN!D25,8)="MUKTAMAD","MUKTAMAD","BELUM MUKTAMAD")</f>
        <v/>
      </c>
      <c r="N6" s="47" t="n"/>
      <c r="O6" s="47" t="n"/>
      <c r="P6" s="47" t="n"/>
    </row>
    <row r="7" ht="24" customHeight="1">
      <c r="A7" s="41" t="n"/>
      <c r="B7" s="41" t="n"/>
      <c r="C7" s="41" t="n"/>
      <c r="D7" s="41" t="n"/>
      <c r="E7" s="43" t="n"/>
      <c r="F7" s="43" t="n"/>
      <c r="G7" s="43" t="n"/>
      <c r="H7" s="43" t="n"/>
      <c r="I7" s="45" t="n"/>
      <c r="J7" s="45" t="n"/>
      <c r="K7" s="45" t="n"/>
      <c r="L7" s="45" t="n"/>
      <c r="M7" s="47" t="n"/>
      <c r="N7" s="47" t="n"/>
      <c r="O7" s="47" t="n"/>
      <c r="P7" s="47" t="n"/>
    </row>
    <row r="8" ht="8" customHeight="1"/>
    <row r="9" ht="26" customHeight="1">
      <c r="A9" s="48" t="inlineStr">
        <is>
          <t>KEDUDUKAN PANEL HAKIM</t>
        </is>
      </c>
      <c r="B9" s="35" t="n"/>
      <c r="C9" s="35" t="n"/>
      <c r="D9" s="35" t="n"/>
      <c r="E9" s="35" t="n"/>
      <c r="F9" s="35" t="n"/>
      <c r="G9" s="35" t="n"/>
      <c r="H9" s="35" t="n"/>
      <c r="J9" s="49" t="inlineStr">
        <is>
          <t>ANUGERAH PILIHAN JURI AWAM (berasingan)</t>
        </is>
      </c>
      <c r="K9" s="37" t="n"/>
      <c r="L9" s="37" t="n"/>
      <c r="M9" s="37" t="n"/>
      <c r="N9" s="37" t="n"/>
      <c r="O9" s="37" t="n"/>
      <c r="P9" s="37" t="n"/>
    </row>
    <row r="10" ht="24" customHeight="1">
      <c r="A10" s="50" t="inlineStr">
        <is>
          <t>Ked.</t>
        </is>
      </c>
      <c r="B10" s="50" t="inlineStr">
        <is>
          <t>Pasukan</t>
        </is>
      </c>
      <c r="C10" s="51" t="n"/>
      <c r="D10" s="51" t="n"/>
      <c r="E10" s="50" t="inlineStr">
        <is>
          <t>Negeri</t>
        </is>
      </c>
      <c r="F10" s="51" t="n"/>
      <c r="G10" s="50" t="inlineStr">
        <is>
          <t>Markah akhir</t>
        </is>
      </c>
      <c r="H10" s="51" t="n"/>
      <c r="J10" s="50" t="inlineStr">
        <is>
          <t>Ked.</t>
        </is>
      </c>
      <c r="K10" s="50" t="inlineStr">
        <is>
          <t>Pasukan</t>
        </is>
      </c>
      <c r="L10" s="51" t="n"/>
      <c r="M10" s="51" t="n"/>
      <c r="N10" s="50" t="inlineStr">
        <is>
          <t>Skor juri</t>
        </is>
      </c>
      <c r="O10" s="51" t="n"/>
      <c r="P10" s="50" t="inlineStr">
        <is>
          <t>Undi</t>
        </is>
      </c>
    </row>
    <row r="11" ht="24" customHeight="1">
      <c r="A11" s="52" t="n">
        <v>1</v>
      </c>
      <c r="B11" s="25">
        <f>IFERROR(INDEX(KEPUTUSAN!$C$6:$C$19,MATCH($A11,KEPUTUSAN!$M$6:$M$19,0)),"")</f>
        <v/>
      </c>
      <c r="C11" s="53" t="n"/>
      <c r="D11" s="53" t="n"/>
      <c r="E11" s="54">
        <f>IFERROR(INDEX(KEPUTUSAN!$B$6:$B$19,MATCH($A11,KEPUTUSAN!$M$6:$M$19,0)),"")</f>
        <v/>
      </c>
      <c r="F11" s="53" t="n"/>
      <c r="G11" s="55">
        <f>IFERROR(INDEX(KEPUTUSAN!$J$6:$J$19,MATCH($A11,KEPUTUSAN!$M$6:$M$19,0)),"")</f>
        <v/>
      </c>
      <c r="H11" s="56" t="n"/>
      <c r="J11" s="57" t="n">
        <v>1</v>
      </c>
      <c r="K11" s="25">
        <f>IFERROR(INDEX(KEPUTUSAN!$C$6:$C$19,MATCH($J11,KEPUTUSAN!$S$6:$S$19,0)),"")</f>
        <v/>
      </c>
      <c r="L11" s="53" t="n"/>
      <c r="M11" s="53" t="n"/>
      <c r="N11" s="58">
        <f>IFERROR(INDEX(KEPUTUSAN!$Q$6:$Q$19,MATCH($J11,KEPUTUSAN!$S$6:$S$19,0)),"")</f>
        <v/>
      </c>
      <c r="O11" s="59" t="n"/>
      <c r="P11" s="60">
        <f>IFERROR(INDEX(KEPUTUSAN!$P$6:$P$19,MATCH($J11,KEPUTUSAN!$S$6:$S$19,0)),"")</f>
        <v/>
      </c>
    </row>
    <row r="12" ht="24" customHeight="1">
      <c r="A12" s="61" t="n">
        <v>2</v>
      </c>
      <c r="B12" s="25">
        <f>IFERROR(INDEX(KEPUTUSAN!$C$6:$C$19,MATCH($A12,KEPUTUSAN!$M$6:$M$19,0)),"")</f>
        <v/>
      </c>
      <c r="C12" s="53" t="n"/>
      <c r="D12" s="53" t="n"/>
      <c r="E12" s="54">
        <f>IFERROR(INDEX(KEPUTUSAN!$B$6:$B$19,MATCH($A12,KEPUTUSAN!$M$6:$M$19,0)),"")</f>
        <v/>
      </c>
      <c r="F12" s="53" t="n"/>
      <c r="G12" s="55">
        <f>IFERROR(INDEX(KEPUTUSAN!$J$6:$J$19,MATCH($A12,KEPUTUSAN!$M$6:$M$19,0)),"")</f>
        <v/>
      </c>
      <c r="H12" s="56" t="n"/>
      <c r="J12" s="62" t="n">
        <v>2</v>
      </c>
      <c r="K12" s="25">
        <f>IFERROR(INDEX(KEPUTUSAN!$C$6:$C$19,MATCH($J12,KEPUTUSAN!$S$6:$S$19,0)),"")</f>
        <v/>
      </c>
      <c r="L12" s="53" t="n"/>
      <c r="M12" s="53" t="n"/>
      <c r="N12" s="58">
        <f>IFERROR(INDEX(KEPUTUSAN!$Q$6:$Q$19,MATCH($J12,KEPUTUSAN!$S$6:$S$19,0)),"")</f>
        <v/>
      </c>
      <c r="O12" s="59" t="n"/>
      <c r="P12" s="60">
        <f>IFERROR(INDEX(KEPUTUSAN!$P$6:$P$19,MATCH($J12,KEPUTUSAN!$S$6:$S$19,0)),"")</f>
        <v/>
      </c>
    </row>
    <row r="13" ht="24" customHeight="1">
      <c r="A13" s="63" t="n">
        <v>3</v>
      </c>
      <c r="B13" s="25">
        <f>IFERROR(INDEX(KEPUTUSAN!$C$6:$C$19,MATCH($A13,KEPUTUSAN!$M$6:$M$19,0)),"")</f>
        <v/>
      </c>
      <c r="C13" s="53" t="n"/>
      <c r="D13" s="53" t="n"/>
      <c r="E13" s="54">
        <f>IFERROR(INDEX(KEPUTUSAN!$B$6:$B$19,MATCH($A13,KEPUTUSAN!$M$6:$M$19,0)),"")</f>
        <v/>
      </c>
      <c r="F13" s="53" t="n"/>
      <c r="G13" s="55">
        <f>IFERROR(INDEX(KEPUTUSAN!$J$6:$J$19,MATCH($A13,KEPUTUSAN!$M$6:$M$19,0)),"")</f>
        <v/>
      </c>
      <c r="H13" s="56" t="n"/>
      <c r="J13" s="64" t="n">
        <v>3</v>
      </c>
      <c r="K13" s="25">
        <f>IFERROR(INDEX(KEPUTUSAN!$C$6:$C$19,MATCH($J13,KEPUTUSAN!$S$6:$S$19,0)),"")</f>
        <v/>
      </c>
      <c r="L13" s="53" t="n"/>
      <c r="M13" s="53" t="n"/>
      <c r="N13" s="58">
        <f>IFERROR(INDEX(KEPUTUSAN!$Q$6:$Q$19,MATCH($J13,KEPUTUSAN!$S$6:$S$19,0)),"")</f>
        <v/>
      </c>
      <c r="O13" s="59" t="n"/>
      <c r="P13" s="60">
        <f>IFERROR(INDEX(KEPUTUSAN!$P$6:$P$19,MATCH($J13,KEPUTUSAN!$S$6:$S$19,0)),"")</f>
        <v/>
      </c>
    </row>
    <row r="14" ht="24" customHeight="1">
      <c r="A14" s="57" t="n">
        <v>4</v>
      </c>
      <c r="B14" s="25">
        <f>IFERROR(INDEX(KEPUTUSAN!$C$6:$C$19,MATCH($A14,KEPUTUSAN!$M$6:$M$19,0)),"")</f>
        <v/>
      </c>
      <c r="C14" s="53" t="n"/>
      <c r="D14" s="53" t="n"/>
      <c r="E14" s="54">
        <f>IFERROR(INDEX(KEPUTUSAN!$B$6:$B$19,MATCH($A14,KEPUTUSAN!$M$6:$M$19,0)),"")</f>
        <v/>
      </c>
      <c r="F14" s="53" t="n"/>
      <c r="G14" s="55">
        <f>IFERROR(INDEX(KEPUTUSAN!$J$6:$J$19,MATCH($A14,KEPUTUSAN!$M$6:$M$19,0)),"")</f>
        <v/>
      </c>
      <c r="H14" s="56" t="n"/>
      <c r="J14" s="65" t="n">
        <v>4</v>
      </c>
      <c r="K14" s="25">
        <f>IFERROR(INDEX(KEPUTUSAN!$C$6:$C$19,MATCH($J14,KEPUTUSAN!$S$6:$S$19,0)),"")</f>
        <v/>
      </c>
      <c r="L14" s="53" t="n"/>
      <c r="M14" s="53" t="n"/>
      <c r="N14" s="58">
        <f>IFERROR(INDEX(KEPUTUSAN!$Q$6:$Q$19,MATCH($J14,KEPUTUSAN!$S$6:$S$19,0)),"")</f>
        <v/>
      </c>
      <c r="O14" s="59" t="n"/>
      <c r="P14" s="60">
        <f>IFERROR(INDEX(KEPUTUSAN!$P$6:$P$19,MATCH($J14,KEPUTUSAN!$S$6:$S$19,0)),"")</f>
        <v/>
      </c>
    </row>
    <row r="15" ht="24" customHeight="1">
      <c r="A15" s="62" t="n">
        <v>5</v>
      </c>
      <c r="B15" s="25">
        <f>IFERROR(INDEX(KEPUTUSAN!$C$6:$C$19,MATCH($A15,KEPUTUSAN!$M$6:$M$19,0)),"")</f>
        <v/>
      </c>
      <c r="C15" s="53" t="n"/>
      <c r="D15" s="53" t="n"/>
      <c r="E15" s="54">
        <f>IFERROR(INDEX(KEPUTUSAN!$B$6:$B$19,MATCH($A15,KEPUTUSAN!$M$6:$M$19,0)),"")</f>
        <v/>
      </c>
      <c r="F15" s="53" t="n"/>
      <c r="G15" s="55">
        <f>IFERROR(INDEX(KEPUTUSAN!$J$6:$J$19,MATCH($A15,KEPUTUSAN!$M$6:$M$19,0)),"")</f>
        <v/>
      </c>
      <c r="H15" s="56" t="n"/>
      <c r="J15" s="66" t="n">
        <v>5</v>
      </c>
      <c r="K15" s="25">
        <f>IFERROR(INDEX(KEPUTUSAN!$C$6:$C$19,MATCH($J15,KEPUTUSAN!$S$6:$S$19,0)),"")</f>
        <v/>
      </c>
      <c r="L15" s="53" t="n"/>
      <c r="M15" s="53" t="n"/>
      <c r="N15" s="58">
        <f>IFERROR(INDEX(KEPUTUSAN!$Q$6:$Q$19,MATCH($J15,KEPUTUSAN!$S$6:$S$19,0)),"")</f>
        <v/>
      </c>
      <c r="O15" s="59" t="n"/>
      <c r="P15" s="60">
        <f>IFERROR(INDEX(KEPUTUSAN!$P$6:$P$19,MATCH($J15,KEPUTUSAN!$S$6:$S$19,0)),"")</f>
        <v/>
      </c>
    </row>
    <row r="16" ht="24" customHeight="1">
      <c r="A16" s="64" t="n">
        <v>6</v>
      </c>
      <c r="B16" s="25">
        <f>IFERROR(INDEX(KEPUTUSAN!$C$6:$C$19,MATCH($A16,KEPUTUSAN!$M$6:$M$19,0)),"")</f>
        <v/>
      </c>
      <c r="C16" s="53" t="n"/>
      <c r="D16" s="53" t="n"/>
      <c r="E16" s="54">
        <f>IFERROR(INDEX(KEPUTUSAN!$B$6:$B$19,MATCH($A16,KEPUTUSAN!$M$6:$M$19,0)),"")</f>
        <v/>
      </c>
      <c r="F16" s="53" t="n"/>
      <c r="G16" s="55">
        <f>IFERROR(INDEX(KEPUTUSAN!$J$6:$J$19,MATCH($A16,KEPUTUSAN!$M$6:$M$19,0)),"")</f>
        <v/>
      </c>
      <c r="H16" s="56" t="n"/>
      <c r="J16" s="67" t="n">
        <v>6</v>
      </c>
      <c r="K16" s="25">
        <f>IFERROR(INDEX(KEPUTUSAN!$C$6:$C$19,MATCH($J16,KEPUTUSAN!$S$6:$S$19,0)),"")</f>
        <v/>
      </c>
      <c r="L16" s="53" t="n"/>
      <c r="M16" s="53" t="n"/>
      <c r="N16" s="58">
        <f>IFERROR(INDEX(KEPUTUSAN!$Q$6:$Q$19,MATCH($J16,KEPUTUSAN!$S$6:$S$19,0)),"")</f>
        <v/>
      </c>
      <c r="O16" s="59" t="n"/>
      <c r="P16" s="60">
        <f>IFERROR(INDEX(KEPUTUSAN!$P$6:$P$19,MATCH($J16,KEPUTUSAN!$S$6:$S$19,0)),"")</f>
        <v/>
      </c>
    </row>
    <row r="17" ht="24" customHeight="1">
      <c r="A17" s="65" t="n">
        <v>7</v>
      </c>
      <c r="B17" s="25">
        <f>IFERROR(INDEX(KEPUTUSAN!$C$6:$C$19,MATCH($A17,KEPUTUSAN!$M$6:$M$19,0)),"")</f>
        <v/>
      </c>
      <c r="C17" s="53" t="n"/>
      <c r="D17" s="53" t="n"/>
      <c r="E17" s="54">
        <f>IFERROR(INDEX(KEPUTUSAN!$B$6:$B$19,MATCH($A17,KEPUTUSAN!$M$6:$M$19,0)),"")</f>
        <v/>
      </c>
      <c r="F17" s="53" t="n"/>
      <c r="G17" s="55">
        <f>IFERROR(INDEX(KEPUTUSAN!$J$6:$J$19,MATCH($A17,KEPUTUSAN!$M$6:$M$19,0)),"")</f>
        <v/>
      </c>
      <c r="H17" s="56" t="n"/>
      <c r="J17" s="52" t="n">
        <v>7</v>
      </c>
      <c r="K17" s="25">
        <f>IFERROR(INDEX(KEPUTUSAN!$C$6:$C$19,MATCH($J17,KEPUTUSAN!$S$6:$S$19,0)),"")</f>
        <v/>
      </c>
      <c r="L17" s="53" t="n"/>
      <c r="M17" s="53" t="n"/>
      <c r="N17" s="58">
        <f>IFERROR(INDEX(KEPUTUSAN!$Q$6:$Q$19,MATCH($J17,KEPUTUSAN!$S$6:$S$19,0)),"")</f>
        <v/>
      </c>
      <c r="O17" s="59" t="n"/>
      <c r="P17" s="60">
        <f>IFERROR(INDEX(KEPUTUSAN!$P$6:$P$19,MATCH($J17,KEPUTUSAN!$S$6:$S$19,0)),"")</f>
        <v/>
      </c>
    </row>
    <row r="18" ht="24" customHeight="1">
      <c r="A18" s="66" t="n">
        <v>8</v>
      </c>
      <c r="B18" s="25">
        <f>IFERROR(INDEX(KEPUTUSAN!$C$6:$C$19,MATCH($A18,KEPUTUSAN!$M$6:$M$19,0)),"")</f>
        <v/>
      </c>
      <c r="C18" s="53" t="n"/>
      <c r="D18" s="53" t="n"/>
      <c r="E18" s="54">
        <f>IFERROR(INDEX(KEPUTUSAN!$B$6:$B$19,MATCH($A18,KEPUTUSAN!$M$6:$M$19,0)),"")</f>
        <v/>
      </c>
      <c r="F18" s="53" t="n"/>
      <c r="G18" s="55">
        <f>IFERROR(INDEX(KEPUTUSAN!$J$6:$J$19,MATCH($A18,KEPUTUSAN!$M$6:$M$19,0)),"")</f>
        <v/>
      </c>
      <c r="H18" s="56" t="n"/>
      <c r="J18" s="61" t="n">
        <v>8</v>
      </c>
      <c r="K18" s="25">
        <f>IFERROR(INDEX(KEPUTUSAN!$C$6:$C$19,MATCH($J18,KEPUTUSAN!$S$6:$S$19,0)),"")</f>
        <v/>
      </c>
      <c r="L18" s="53" t="n"/>
      <c r="M18" s="53" t="n"/>
      <c r="N18" s="58">
        <f>IFERROR(INDEX(KEPUTUSAN!$Q$6:$Q$19,MATCH($J18,KEPUTUSAN!$S$6:$S$19,0)),"")</f>
        <v/>
      </c>
      <c r="O18" s="59" t="n"/>
      <c r="P18" s="60">
        <f>IFERROR(INDEX(KEPUTUSAN!$P$6:$P$19,MATCH($J18,KEPUTUSAN!$S$6:$S$19,0)),"")</f>
        <v/>
      </c>
    </row>
    <row r="19" ht="24" customHeight="1">
      <c r="A19" s="67" t="n">
        <v>9</v>
      </c>
      <c r="B19" s="25">
        <f>IFERROR(INDEX(KEPUTUSAN!$C$6:$C$19,MATCH($A19,KEPUTUSAN!$M$6:$M$19,0)),"")</f>
        <v/>
      </c>
      <c r="C19" s="53" t="n"/>
      <c r="D19" s="53" t="n"/>
      <c r="E19" s="54">
        <f>IFERROR(INDEX(KEPUTUSAN!$B$6:$B$19,MATCH($A19,KEPUTUSAN!$M$6:$M$19,0)),"")</f>
        <v/>
      </c>
      <c r="F19" s="53" t="n"/>
      <c r="G19" s="55">
        <f>IFERROR(INDEX(KEPUTUSAN!$J$6:$J$19,MATCH($A19,KEPUTUSAN!$M$6:$M$19,0)),"")</f>
        <v/>
      </c>
      <c r="H19" s="56" t="n"/>
      <c r="J19" s="63" t="n">
        <v>9</v>
      </c>
      <c r="K19" s="25">
        <f>IFERROR(INDEX(KEPUTUSAN!$C$6:$C$19,MATCH($J19,KEPUTUSAN!$S$6:$S$19,0)),"")</f>
        <v/>
      </c>
      <c r="L19" s="53" t="n"/>
      <c r="M19" s="53" t="n"/>
      <c r="N19" s="58">
        <f>IFERROR(INDEX(KEPUTUSAN!$Q$6:$Q$19,MATCH($J19,KEPUTUSAN!$S$6:$S$19,0)),"")</f>
        <v/>
      </c>
      <c r="O19" s="59" t="n"/>
      <c r="P19" s="60">
        <f>IFERROR(INDEX(KEPUTUSAN!$P$6:$P$19,MATCH($J19,KEPUTUSAN!$S$6:$S$19,0)),"")</f>
        <v/>
      </c>
    </row>
    <row r="20" ht="24" customHeight="1">
      <c r="A20" s="52" t="n">
        <v>10</v>
      </c>
      <c r="B20" s="25">
        <f>IFERROR(INDEX(KEPUTUSAN!$C$6:$C$19,MATCH($A20,KEPUTUSAN!$M$6:$M$19,0)),"")</f>
        <v/>
      </c>
      <c r="C20" s="53" t="n"/>
      <c r="D20" s="53" t="n"/>
      <c r="E20" s="54">
        <f>IFERROR(INDEX(KEPUTUSAN!$B$6:$B$19,MATCH($A20,KEPUTUSAN!$M$6:$M$19,0)),"")</f>
        <v/>
      </c>
      <c r="F20" s="53" t="n"/>
      <c r="G20" s="55">
        <f>IFERROR(INDEX(KEPUTUSAN!$J$6:$J$19,MATCH($A20,KEPUTUSAN!$M$6:$M$19,0)),"")</f>
        <v/>
      </c>
      <c r="H20" s="56" t="n"/>
      <c r="J20" s="57" t="n">
        <v>10</v>
      </c>
      <c r="K20" s="25">
        <f>IFERROR(INDEX(KEPUTUSAN!$C$6:$C$19,MATCH($J20,KEPUTUSAN!$S$6:$S$19,0)),"")</f>
        <v/>
      </c>
      <c r="L20" s="53" t="n"/>
      <c r="M20" s="53" t="n"/>
      <c r="N20" s="58">
        <f>IFERROR(INDEX(KEPUTUSAN!$Q$6:$Q$19,MATCH($J20,KEPUTUSAN!$S$6:$S$19,0)),"")</f>
        <v/>
      </c>
      <c r="O20" s="59" t="n"/>
      <c r="P20" s="60">
        <f>IFERROR(INDEX(KEPUTUSAN!$P$6:$P$19,MATCH($J20,KEPUTUSAN!$S$6:$S$19,0)),"")</f>
        <v/>
      </c>
    </row>
    <row r="21" ht="24" customHeight="1">
      <c r="A21" s="61" t="n">
        <v>11</v>
      </c>
      <c r="B21" s="25">
        <f>IFERROR(INDEX(KEPUTUSAN!$C$6:$C$19,MATCH($A21,KEPUTUSAN!$M$6:$M$19,0)),"")</f>
        <v/>
      </c>
      <c r="C21" s="53" t="n"/>
      <c r="D21" s="53" t="n"/>
      <c r="E21" s="54">
        <f>IFERROR(INDEX(KEPUTUSAN!$B$6:$B$19,MATCH($A21,KEPUTUSAN!$M$6:$M$19,0)),"")</f>
        <v/>
      </c>
      <c r="F21" s="53" t="n"/>
      <c r="G21" s="55">
        <f>IFERROR(INDEX(KEPUTUSAN!$J$6:$J$19,MATCH($A21,KEPUTUSAN!$M$6:$M$19,0)),"")</f>
        <v/>
      </c>
      <c r="H21" s="56" t="n"/>
      <c r="J21" s="62" t="n">
        <v>11</v>
      </c>
      <c r="K21" s="25">
        <f>IFERROR(INDEX(KEPUTUSAN!$C$6:$C$19,MATCH($J21,KEPUTUSAN!$S$6:$S$19,0)),"")</f>
        <v/>
      </c>
      <c r="L21" s="53" t="n"/>
      <c r="M21" s="53" t="n"/>
      <c r="N21" s="58">
        <f>IFERROR(INDEX(KEPUTUSAN!$Q$6:$Q$19,MATCH($J21,KEPUTUSAN!$S$6:$S$19,0)),"")</f>
        <v/>
      </c>
      <c r="O21" s="59" t="n"/>
      <c r="P21" s="60">
        <f>IFERROR(INDEX(KEPUTUSAN!$P$6:$P$19,MATCH($J21,KEPUTUSAN!$S$6:$S$19,0)),"")</f>
        <v/>
      </c>
    </row>
    <row r="22" ht="24" customHeight="1">
      <c r="A22" s="63" t="n">
        <v>12</v>
      </c>
      <c r="B22" s="25">
        <f>IFERROR(INDEX(KEPUTUSAN!$C$6:$C$19,MATCH($A22,KEPUTUSAN!$M$6:$M$19,0)),"")</f>
        <v/>
      </c>
      <c r="C22" s="53" t="n"/>
      <c r="D22" s="53" t="n"/>
      <c r="E22" s="54">
        <f>IFERROR(INDEX(KEPUTUSAN!$B$6:$B$19,MATCH($A22,KEPUTUSAN!$M$6:$M$19,0)),"")</f>
        <v/>
      </c>
      <c r="F22" s="53" t="n"/>
      <c r="G22" s="55">
        <f>IFERROR(INDEX(KEPUTUSAN!$J$6:$J$19,MATCH($A22,KEPUTUSAN!$M$6:$M$19,0)),"")</f>
        <v/>
      </c>
      <c r="H22" s="56" t="n"/>
      <c r="J22" s="64" t="n">
        <v>12</v>
      </c>
      <c r="K22" s="25">
        <f>IFERROR(INDEX(KEPUTUSAN!$C$6:$C$19,MATCH($J22,KEPUTUSAN!$S$6:$S$19,0)),"")</f>
        <v/>
      </c>
      <c r="L22" s="53" t="n"/>
      <c r="M22" s="53" t="n"/>
      <c r="N22" s="58">
        <f>IFERROR(INDEX(KEPUTUSAN!$Q$6:$Q$19,MATCH($J22,KEPUTUSAN!$S$6:$S$19,0)),"")</f>
        <v/>
      </c>
      <c r="O22" s="59" t="n"/>
      <c r="P22" s="60">
        <f>IFERROR(INDEX(KEPUTUSAN!$P$6:$P$19,MATCH($J22,KEPUTUSAN!$S$6:$S$19,0)),"")</f>
        <v/>
      </c>
    </row>
    <row r="23" ht="24" customHeight="1">
      <c r="A23" s="57" t="n">
        <v>13</v>
      </c>
      <c r="B23" s="25">
        <f>IFERROR(INDEX(KEPUTUSAN!$C$6:$C$19,MATCH($A23,KEPUTUSAN!$M$6:$M$19,0)),"")</f>
        <v/>
      </c>
      <c r="C23" s="53" t="n"/>
      <c r="D23" s="53" t="n"/>
      <c r="E23" s="54">
        <f>IFERROR(INDEX(KEPUTUSAN!$B$6:$B$19,MATCH($A23,KEPUTUSAN!$M$6:$M$19,0)),"")</f>
        <v/>
      </c>
      <c r="F23" s="53" t="n"/>
      <c r="G23" s="55">
        <f>IFERROR(INDEX(KEPUTUSAN!$J$6:$J$19,MATCH($A23,KEPUTUSAN!$M$6:$M$19,0)),"")</f>
        <v/>
      </c>
      <c r="H23" s="56" t="n"/>
      <c r="J23" s="65" t="n">
        <v>13</v>
      </c>
      <c r="K23" s="25">
        <f>IFERROR(INDEX(KEPUTUSAN!$C$6:$C$19,MATCH($J23,KEPUTUSAN!$S$6:$S$19,0)),"")</f>
        <v/>
      </c>
      <c r="L23" s="53" t="n"/>
      <c r="M23" s="53" t="n"/>
      <c r="N23" s="58">
        <f>IFERROR(INDEX(KEPUTUSAN!$Q$6:$Q$19,MATCH($J23,KEPUTUSAN!$S$6:$S$19,0)),"")</f>
        <v/>
      </c>
      <c r="O23" s="59" t="n"/>
      <c r="P23" s="60">
        <f>IFERROR(INDEX(KEPUTUSAN!$P$6:$P$19,MATCH($J23,KEPUTUSAN!$S$6:$S$19,0)),"")</f>
        <v/>
      </c>
    </row>
    <row r="24" ht="24" customHeight="1">
      <c r="A24" s="62" t="n">
        <v>14</v>
      </c>
      <c r="B24" s="25">
        <f>IFERROR(INDEX(KEPUTUSAN!$C$6:$C$19,MATCH($A24,KEPUTUSAN!$M$6:$M$19,0)),"")</f>
        <v/>
      </c>
      <c r="C24" s="53" t="n"/>
      <c r="D24" s="53" t="n"/>
      <c r="E24" s="54">
        <f>IFERROR(INDEX(KEPUTUSAN!$B$6:$B$19,MATCH($A24,KEPUTUSAN!$M$6:$M$19,0)),"")</f>
        <v/>
      </c>
      <c r="F24" s="53" t="n"/>
      <c r="G24" s="55">
        <f>IFERROR(INDEX(KEPUTUSAN!$J$6:$J$19,MATCH($A24,KEPUTUSAN!$M$6:$M$19,0)),"")</f>
        <v/>
      </c>
      <c r="H24" s="56" t="n"/>
      <c r="J24" s="66" t="n">
        <v>14</v>
      </c>
      <c r="K24" s="25">
        <f>IFERROR(INDEX(KEPUTUSAN!$C$6:$C$19,MATCH($J24,KEPUTUSAN!$S$6:$S$19,0)),"")</f>
        <v/>
      </c>
      <c r="L24" s="53" t="n"/>
      <c r="M24" s="53" t="n"/>
      <c r="N24" s="58">
        <f>IFERROR(INDEX(KEPUTUSAN!$Q$6:$Q$19,MATCH($J24,KEPUTUSAN!$S$6:$S$19,0)),"")</f>
        <v/>
      </c>
      <c r="O24" s="59" t="n"/>
      <c r="P24" s="60">
        <f>IFERROR(INDEX(KEPUTUSAN!$P$6:$P$19,MATCH($J24,KEPUTUSAN!$S$6:$S$19,0)),"")</f>
        <v/>
      </c>
    </row>
    <row r="25" ht="8" customHeight="1"/>
    <row r="26" ht="24" customHeight="1">
      <c r="A26" s="68" t="inlineStr">
        <is>
          <t>CARTA</t>
        </is>
      </c>
      <c r="B26" s="69" t="n"/>
      <c r="C26" s="69" t="n"/>
      <c r="D26" s="69" t="n"/>
      <c r="E26" s="69" t="n"/>
      <c r="F26" s="69" t="n"/>
      <c r="G26" s="69" t="n"/>
      <c r="H26" s="69" t="n"/>
      <c r="I26" s="69" t="n"/>
      <c r="J26" s="69" t="n"/>
      <c r="K26" s="69" t="n"/>
      <c r="L26" s="69" t="n"/>
      <c r="M26" s="69" t="n"/>
      <c r="N26" s="69" t="n"/>
      <c r="O26" s="69" t="n"/>
      <c r="P26" s="69" t="n"/>
    </row>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sheetData>
  <mergeCells count="88">
    <mergeCell ref="A5:D5"/>
    <mergeCell ref="B11:D11"/>
    <mergeCell ref="G21:H21"/>
    <mergeCell ref="N11:O11"/>
    <mergeCell ref="N20:O20"/>
    <mergeCell ref="E23:F23"/>
    <mergeCell ref="G23:H23"/>
    <mergeCell ref="N22:O22"/>
    <mergeCell ref="N12:O12"/>
    <mergeCell ref="K17:M17"/>
    <mergeCell ref="G18:H18"/>
    <mergeCell ref="N14:O14"/>
    <mergeCell ref="B20:D20"/>
    <mergeCell ref="K10:M10"/>
    <mergeCell ref="K16:M16"/>
    <mergeCell ref="G20:H20"/>
    <mergeCell ref="N15:O15"/>
    <mergeCell ref="N24:O24"/>
    <mergeCell ref="E22:F22"/>
    <mergeCell ref="A26:P26"/>
    <mergeCell ref="G22:H22"/>
    <mergeCell ref="K20:M20"/>
    <mergeCell ref="K11:M11"/>
    <mergeCell ref="E12:F12"/>
    <mergeCell ref="G12:H12"/>
    <mergeCell ref="K22:M22"/>
    <mergeCell ref="N16:O16"/>
    <mergeCell ref="B17:D17"/>
    <mergeCell ref="E14:F14"/>
    <mergeCell ref="K12:M12"/>
    <mergeCell ref="A6:D7"/>
    <mergeCell ref="B10:D10"/>
    <mergeCell ref="B19:D19"/>
    <mergeCell ref="K14:M14"/>
    <mergeCell ref="K23:M23"/>
    <mergeCell ref="E6:H7"/>
    <mergeCell ref="E5:H5"/>
    <mergeCell ref="G24:H24"/>
    <mergeCell ref="A1:P1"/>
    <mergeCell ref="K18:M18"/>
    <mergeCell ref="N13:O13"/>
    <mergeCell ref="E16:F16"/>
    <mergeCell ref="G16:H16"/>
    <mergeCell ref="B21:D21"/>
    <mergeCell ref="E18:F18"/>
    <mergeCell ref="B14:D14"/>
    <mergeCell ref="I5:L5"/>
    <mergeCell ref="B23:D23"/>
    <mergeCell ref="G11:H11"/>
    <mergeCell ref="B13:D13"/>
    <mergeCell ref="E20:F20"/>
    <mergeCell ref="N18:O18"/>
    <mergeCell ref="E13:F13"/>
    <mergeCell ref="M6:P7"/>
    <mergeCell ref="G13:H13"/>
    <mergeCell ref="M5:P5"/>
    <mergeCell ref="N17:O17"/>
    <mergeCell ref="E15:F15"/>
    <mergeCell ref="K13:M13"/>
    <mergeCell ref="G15:H15"/>
    <mergeCell ref="N10:O10"/>
    <mergeCell ref="N19:O19"/>
    <mergeCell ref="K15:M15"/>
    <mergeCell ref="K24:M24"/>
    <mergeCell ref="B22:D22"/>
    <mergeCell ref="K21:M21"/>
    <mergeCell ref="B12:D12"/>
    <mergeCell ref="A9:H9"/>
    <mergeCell ref="E24:F24"/>
    <mergeCell ref="E17:F17"/>
    <mergeCell ref="G17:H17"/>
    <mergeCell ref="N21:O21"/>
    <mergeCell ref="E10:F10"/>
    <mergeCell ref="G10:H10"/>
    <mergeCell ref="E19:F19"/>
    <mergeCell ref="G19:H19"/>
    <mergeCell ref="B15:D15"/>
    <mergeCell ref="N23:O23"/>
    <mergeCell ref="B24:D24"/>
    <mergeCell ref="K19:M19"/>
    <mergeCell ref="J9:P9"/>
    <mergeCell ref="E11:F11"/>
    <mergeCell ref="G14:H14"/>
    <mergeCell ref="B16:D16"/>
    <mergeCell ref="B18:D18"/>
    <mergeCell ref="I6:L7"/>
    <mergeCell ref="E21:F21"/>
    <mergeCell ref="A2:P2"/>
  </mergeCells>
  <conditionalFormatting sqref="A11:H11">
    <cfRule type="expression" priority="1" dxfId="0" stopIfTrue="0">
      <formula>AND(A11&lt;&gt;"",$B11&lt;&gt;"")</formula>
    </cfRule>
  </conditionalFormatting>
  <conditionalFormatting sqref="A12:H12">
    <cfRule type="expression" priority="2" dxfId="1" stopIfTrue="0">
      <formula>AND(A12&lt;&gt;"",$B12&lt;&gt;"")</formula>
    </cfRule>
  </conditionalFormatting>
  <conditionalFormatting sqref="A13:H13">
    <cfRule type="expression" priority="3" dxfId="2" stopIfTrue="0">
      <formula>AND(A13&lt;&gt;"",$B13&lt;&gt;"")</formula>
    </cfRule>
  </conditionalFormatting>
  <conditionalFormatting sqref="J11:P11">
    <cfRule type="expression" priority="4" dxfId="0" stopIfTrue="0">
      <formula>AND($K11&lt;&gt;"")</formula>
    </cfRule>
  </conditionalFormatting>
  <conditionalFormatting sqref="J12:P12">
    <cfRule type="expression" priority="5" dxfId="1" stopIfTrue="0">
      <formula>AND($K12&lt;&gt;"")</formula>
    </cfRule>
  </conditionalFormatting>
  <conditionalFormatting sqref="J13:P13">
    <cfRule type="expression" priority="6" dxfId="2" stopIfTrue="0">
      <formula>AND($K13&lt;&gt;"")</formula>
    </cfRule>
  </conditionalFormatting>
  <printOptions horizontalCentered="1"/>
  <pageMargins left="0.4" right="0.4" top="0.5" bottom="0.5" header="0.5" footer="0.5"/>
  <pageSetup orientation="landscape" paperSize="9" fitToHeight="1" fitToWidth="1"/>
  <drawing xmlns:r="http://schemas.openxmlformats.org/officeDocument/2006/relationships" r:id="rId1"/>
</worksheet>
</file>

<file path=xl/worksheets/sheet3.xml><?xml version="1.0" encoding="utf-8"?>
<worksheet xmlns="http://schemas.openxmlformats.org/spreadsheetml/2006/main">
  <sheetPr>
    <tabColor rgb="00EA580C"/>
    <outlinePr summaryBelow="1" summaryRight="1"/>
    <pageSetUpPr fitToPage="1"/>
  </sheetPr>
  <dimension ref="A1:T2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0" customWidth="1" min="3" max="3"/>
    <col width="12" customWidth="1" min="4" max="4"/>
    <col width="11" customWidth="1" min="5" max="5"/>
    <col width="11" customWidth="1" min="6" max="6"/>
    <col width="11" customWidth="1" min="7" max="7"/>
    <col width="11" customWidth="1" min="8" max="8"/>
    <col width="12" customWidth="1" min="9" max="9"/>
    <col width="13" customWidth="1" min="10" max="10"/>
    <col width="10" customWidth="1" min="11" max="11"/>
    <col width="24" customWidth="1" min="12" max="12"/>
    <col width="13" customWidth="1" min="13" max="13"/>
    <col width="30" customWidth="1" min="14" max="14"/>
    <col width="3" customWidth="1" min="15" max="15"/>
    <col width="9" customWidth="1" min="16" max="16"/>
    <col width="12" customWidth="1" min="17" max="17"/>
    <col width="26" customWidth="1" min="18" max="18"/>
    <col width="11" customWidth="1" min="19" max="19"/>
    <col width="26" customWidth="1" min="20" max="20"/>
  </cols>
  <sheetData>
    <row r="1" ht="32" customHeight="1">
      <c r="A1" s="1" t="inlineStr">
        <is>
          <t>KEPUTUSAN KEHAKIMAN  |  CDKK @FESMA 2026</t>
        </is>
      </c>
      <c r="B1" s="2" t="n"/>
      <c r="C1" s="2" t="n"/>
      <c r="D1" s="2" t="n"/>
      <c r="E1" s="2" t="n"/>
      <c r="F1" s="2" t="n"/>
      <c r="G1" s="2" t="n"/>
      <c r="H1" s="2" t="n"/>
      <c r="I1" s="2" t="n"/>
      <c r="J1" s="2" t="n"/>
      <c r="K1" s="2" t="n"/>
      <c r="L1" s="2" t="n"/>
      <c r="M1" s="2" t="n"/>
      <c r="N1" s="2" t="n"/>
      <c r="O1" s="2" t="n"/>
      <c r="P1" s="2" t="n"/>
      <c r="Q1" s="2" t="n"/>
      <c r="R1" s="2" t="n"/>
      <c r="S1" s="2" t="n"/>
      <c r="T1" s="2" t="n"/>
    </row>
    <row r="2" ht="24" customHeight="1">
      <c r="A2" s="3" t="inlineStr">
        <is>
          <t>Markah hakim (kiri) dan skor juri awam (kanan, berasingan, tidak ditambah kepada markah hakim). Sel KUNING = Status pasukan sahaja. Selebihnya formula.</t>
        </is>
      </c>
      <c r="B2" s="4" t="n"/>
      <c r="C2" s="4" t="n"/>
      <c r="D2" s="4" t="n"/>
      <c r="E2" s="4" t="n"/>
      <c r="F2" s="4" t="n"/>
      <c r="G2" s="4" t="n"/>
      <c r="H2" s="4" t="n"/>
      <c r="I2" s="4" t="n"/>
      <c r="J2" s="4" t="n"/>
      <c r="K2" s="4" t="n"/>
      <c r="L2" s="4" t="n"/>
      <c r="M2" s="4" t="n"/>
      <c r="N2" s="4" t="n"/>
      <c r="O2" s="4" t="n"/>
      <c r="P2" s="4" t="n"/>
      <c r="Q2" s="4" t="n"/>
      <c r="R2" s="4" t="n"/>
      <c r="S2" s="4" t="n"/>
      <c r="T2" s="4" t="n"/>
    </row>
    <row r="3" ht="26" customHeight="1">
      <c r="A3" s="70" t="inlineStr">
        <is>
          <t>STATUS PENGIRAAN</t>
        </is>
      </c>
      <c r="B3" s="41" t="n"/>
      <c r="C3" s="41" t="n"/>
      <c r="D3" s="41" t="n"/>
      <c r="E3" s="60">
        <f>IF(COUNTIF(D6:D19,"Aktif")=COUNTIFS(D6:D19,"Aktif",H6:H19,3),"SEMUA HAKIM LENGKAP: kedudukan lengkap","SEMENTARA: "&amp;COUNTIFS(D6:D19,"Aktif",H6:H19,3)&amp;" daripada "&amp;COUNTIF(D6:D19,"Aktif")&amp;" pasukan aktif lengkap tiga hakim")</f>
        <v/>
      </c>
      <c r="F3" s="71" t="n"/>
      <c r="G3" s="71" t="n"/>
      <c r="H3" s="71" t="n"/>
      <c r="I3" s="71" t="n"/>
      <c r="J3" s="71" t="n"/>
      <c r="K3" s="71" t="n"/>
      <c r="L3" s="71" t="n"/>
      <c r="M3" s="71" t="n"/>
      <c r="N3" s="71" t="n"/>
    </row>
    <row r="4" ht="26" customHeight="1">
      <c r="A4" s="72" t="inlineStr">
        <is>
          <t>MARKAH PANEL HAKIM</t>
        </is>
      </c>
      <c r="B4" s="35" t="n"/>
      <c r="C4" s="35" t="n"/>
      <c r="D4" s="35" t="n"/>
      <c r="E4" s="35" t="n"/>
      <c r="F4" s="35" t="n"/>
      <c r="G4" s="35" t="n"/>
      <c r="H4" s="35" t="n"/>
      <c r="I4" s="35" t="n"/>
      <c r="J4" s="35" t="n"/>
      <c r="K4" s="35" t="n"/>
      <c r="L4" s="35" t="n"/>
      <c r="M4" s="35" t="n"/>
      <c r="N4" s="35" t="n"/>
      <c r="P4" s="73" t="inlineStr">
        <is>
          <t>JURI AWAM (anugerah berasingan)</t>
        </is>
      </c>
      <c r="Q4" s="37" t="n"/>
      <c r="R4" s="37" t="n"/>
      <c r="S4" s="37" t="n"/>
      <c r="T4" s="37" t="n"/>
    </row>
    <row r="5" ht="48" customHeight="1">
      <c r="A5" s="50" t="inlineStr">
        <is>
          <t>Bil</t>
        </is>
      </c>
      <c r="B5" s="50" t="inlineStr">
        <is>
          <t>Negeri</t>
        </is>
      </c>
      <c r="C5" s="50" t="inlineStr">
        <is>
          <t>Pasukan</t>
        </is>
      </c>
      <c r="D5" s="50" t="inlineStr">
        <is>
          <t>Status</t>
        </is>
      </c>
      <c r="E5" s="74" t="inlineStr">
        <is>
          <t>Hakim H1</t>
        </is>
      </c>
      <c r="F5" s="75" t="inlineStr">
        <is>
          <t>Hakim H2</t>
        </is>
      </c>
      <c r="G5" s="76" t="inlineStr">
        <is>
          <t>Hakim H3</t>
        </is>
      </c>
      <c r="H5" s="77" t="inlineStr">
        <is>
          <t>Bil hakim lengkap</t>
        </is>
      </c>
      <c r="I5" s="78" t="inlineStr">
        <is>
          <t>Purata tiga hakim</t>
        </is>
      </c>
      <c r="J5" s="79" t="inlineStr">
        <is>
          <t>MARKAH AKHIR</t>
        </is>
      </c>
      <c r="K5" s="80" t="inlineStr">
        <is>
          <t>Sisihan %</t>
        </is>
      </c>
      <c r="L5" s="80" t="inlineStr">
        <is>
          <t>Bendera sisihan</t>
        </is>
      </c>
      <c r="M5" s="81" t="inlineStr">
        <is>
          <t>KEDUDUKAN</t>
        </is>
      </c>
      <c r="N5" s="82" t="inlineStr">
        <is>
          <t>Catatan</t>
        </is>
      </c>
      <c r="P5" s="74" t="inlineStr">
        <is>
          <t>Bil undi</t>
        </is>
      </c>
      <c r="Q5" s="81" t="inlineStr">
        <is>
          <t>Skor juri (maks 100)</t>
        </is>
      </c>
      <c r="R5" s="78" t="inlineStr">
        <is>
          <t>Kelayakan anugerah</t>
        </is>
      </c>
      <c r="S5" s="79" t="inlineStr">
        <is>
          <t>Kedudukan juri</t>
        </is>
      </c>
      <c r="T5" s="82" t="inlineStr">
        <is>
          <t>Catatan juri</t>
        </is>
      </c>
    </row>
    <row r="6" ht="26" customHeight="1">
      <c r="A6" s="52" t="n">
        <v>1</v>
      </c>
      <c r="B6" s="83" t="inlineStr">
        <is>
          <t>PERLIS</t>
        </is>
      </c>
      <c r="C6" s="84" t="inlineStr">
        <is>
          <t>NOVA</t>
        </is>
      </c>
      <c r="D6" s="85" t="inlineStr">
        <is>
          <t>Aktif</t>
        </is>
      </c>
      <c r="E6" s="86">
        <f>IF(HAKIM_H1!$Q6="LENGKAP",HAKIM_H1!$P6,"")</f>
        <v/>
      </c>
      <c r="F6" s="87">
        <f>IF(HAKIM_H2!$Q6="LENGKAP",HAKIM_H2!$P6,"")</f>
        <v/>
      </c>
      <c r="G6" s="88">
        <f>IF(HAKIM_H3!$Q6="LENGKAP",HAKIM_H3!$P6,"")</f>
        <v/>
      </c>
      <c r="H6" s="89">
        <f>COUNT(E6:G6)</f>
        <v/>
      </c>
      <c r="I6" s="90">
        <f>IF(H6=3,ROUND(AVERAGE(E6:G6),2),"")</f>
        <v/>
      </c>
      <c r="J6" s="91">
        <f>IF(D6="BATAL",0,IF(D6="Aktif",I6,""))</f>
        <v/>
      </c>
      <c r="K6" s="92">
        <f>IF(H6=3,IF(AVERAGE(E6:G6)&gt;0,ROUND((MAX(E6:G6)-MIN(E6:G6))/AVERAGE(E6:G6)*100,0),0),"")</f>
        <v/>
      </c>
      <c r="L6" s="93">
        <f>IF(K6="","",IF(K6&gt;20,"SEMAK: sisihan "&amp;K6&amp;"%",""))</f>
        <v/>
      </c>
      <c r="M6" s="94">
        <f>IF(D6="Tarik diri","TARIK DIRI",IF(D6="BATAL","BATAL",IF(PECAH_SERI!M6="","",PECAH_SERI!M6)))</f>
        <v/>
      </c>
      <c r="N6" s="95">
        <f>IF(PECAH_SERI!N6&lt;&gt;"",PECAH_SERI!N6,IF(AND(D6="Aktif",H6&lt;3),"Menunggu "&amp;(3-H6)&amp;" hakim",""))</f>
        <v/>
      </c>
      <c r="P6" s="86">
        <f>JURI!AC6</f>
        <v/>
      </c>
      <c r="Q6" s="58">
        <f>JURI!AD6</f>
        <v/>
      </c>
      <c r="R6" s="96">
        <f>JURI!AE6</f>
        <v/>
      </c>
      <c r="S6" s="97">
        <f>JURI!AF6</f>
        <v/>
      </c>
      <c r="T6" s="98">
        <f>JURI!AG6</f>
        <v/>
      </c>
    </row>
    <row r="7" ht="26" customHeight="1">
      <c r="A7" s="61" t="n">
        <v>2</v>
      </c>
      <c r="B7" s="83" t="inlineStr">
        <is>
          <t>KEDAH</t>
        </is>
      </c>
      <c r="C7" s="84" t="inlineStr">
        <is>
          <t>KDH BUDDY</t>
        </is>
      </c>
      <c r="D7" s="85" t="inlineStr">
        <is>
          <t>Aktif</t>
        </is>
      </c>
      <c r="E7" s="86">
        <f>IF(HAKIM_H1!$Q7="LENGKAP",HAKIM_H1!$P7,"")</f>
        <v/>
      </c>
      <c r="F7" s="87">
        <f>IF(HAKIM_H2!$Q7="LENGKAP",HAKIM_H2!$P7,"")</f>
        <v/>
      </c>
      <c r="G7" s="88">
        <f>IF(HAKIM_H3!$Q7="LENGKAP",HAKIM_H3!$P7,"")</f>
        <v/>
      </c>
      <c r="H7" s="89">
        <f>COUNT(E7:G7)</f>
        <v/>
      </c>
      <c r="I7" s="90">
        <f>IF(H7=3,ROUND(AVERAGE(E7:G7),2),"")</f>
        <v/>
      </c>
      <c r="J7" s="91">
        <f>IF(D7="BATAL",0,IF(D7="Aktif",I7,""))</f>
        <v/>
      </c>
      <c r="K7" s="92">
        <f>IF(H7=3,IF(AVERAGE(E7:G7)&gt;0,ROUND((MAX(E7:G7)-MIN(E7:G7))/AVERAGE(E7:G7)*100,0),0),"")</f>
        <v/>
      </c>
      <c r="L7" s="93">
        <f>IF(K7="","",IF(K7&gt;20,"SEMAK: sisihan "&amp;K7&amp;"%",""))</f>
        <v/>
      </c>
      <c r="M7" s="94">
        <f>IF(D7="Tarik diri","TARIK DIRI",IF(D7="BATAL","BATAL",IF(PECAH_SERI!M7="","",PECAH_SERI!M7)))</f>
        <v/>
      </c>
      <c r="N7" s="95">
        <f>IF(PECAH_SERI!N7&lt;&gt;"",PECAH_SERI!N7,IF(AND(D7="Aktif",H7&lt;3),"Menunggu "&amp;(3-H7)&amp;" hakim",""))</f>
        <v/>
      </c>
      <c r="P7" s="86">
        <f>JURI!AC7</f>
        <v/>
      </c>
      <c r="Q7" s="58">
        <f>JURI!AD7</f>
        <v/>
      </c>
      <c r="R7" s="96">
        <f>JURI!AE7</f>
        <v/>
      </c>
      <c r="S7" s="97">
        <f>JURI!AF7</f>
        <v/>
      </c>
      <c r="T7" s="98">
        <f>JURI!AG7</f>
        <v/>
      </c>
    </row>
    <row r="8" ht="26" customHeight="1">
      <c r="A8" s="63" t="n">
        <v>3</v>
      </c>
      <c r="B8" s="83" t="inlineStr">
        <is>
          <t>PULAU PINANG</t>
        </is>
      </c>
      <c r="C8" s="84" t="inlineStr">
        <is>
          <t>RAFIQ RANGERS</t>
        </is>
      </c>
      <c r="D8" s="85" t="inlineStr">
        <is>
          <t>Aktif</t>
        </is>
      </c>
      <c r="E8" s="86">
        <f>IF(HAKIM_H1!$Q8="LENGKAP",HAKIM_H1!$P8,"")</f>
        <v/>
      </c>
      <c r="F8" s="87">
        <f>IF(HAKIM_H2!$Q8="LENGKAP",HAKIM_H2!$P8,"")</f>
        <v/>
      </c>
      <c r="G8" s="88">
        <f>IF(HAKIM_H3!$Q8="LENGKAP",HAKIM_H3!$P8,"")</f>
        <v/>
      </c>
      <c r="H8" s="89">
        <f>COUNT(E8:G8)</f>
        <v/>
      </c>
      <c r="I8" s="90">
        <f>IF(H8=3,ROUND(AVERAGE(E8:G8),2),"")</f>
        <v/>
      </c>
      <c r="J8" s="91">
        <f>IF(D8="BATAL",0,IF(D8="Aktif",I8,""))</f>
        <v/>
      </c>
      <c r="K8" s="92">
        <f>IF(H8=3,IF(AVERAGE(E8:G8)&gt;0,ROUND((MAX(E8:G8)-MIN(E8:G8))/AVERAGE(E8:G8)*100,0),0),"")</f>
        <v/>
      </c>
      <c r="L8" s="93">
        <f>IF(K8="","",IF(K8&gt;20,"SEMAK: sisihan "&amp;K8&amp;"%",""))</f>
        <v/>
      </c>
      <c r="M8" s="94">
        <f>IF(D8="Tarik diri","TARIK DIRI",IF(D8="BATAL","BATAL",IF(PECAH_SERI!M8="","",PECAH_SERI!M8)))</f>
        <v/>
      </c>
      <c r="N8" s="95">
        <f>IF(PECAH_SERI!N8&lt;&gt;"",PECAH_SERI!N8,IF(AND(D8="Aktif",H8&lt;3),"Menunggu "&amp;(3-H8)&amp;" hakim",""))</f>
        <v/>
      </c>
      <c r="P8" s="86">
        <f>JURI!AC8</f>
        <v/>
      </c>
      <c r="Q8" s="58">
        <f>JURI!AD8</f>
        <v/>
      </c>
      <c r="R8" s="96">
        <f>JURI!AE8</f>
        <v/>
      </c>
      <c r="S8" s="97">
        <f>JURI!AF8</f>
        <v/>
      </c>
      <c r="T8" s="98">
        <f>JURI!AG8</f>
        <v/>
      </c>
    </row>
    <row r="9" ht="26" customHeight="1">
      <c r="A9" s="57" t="n">
        <v>4</v>
      </c>
      <c r="B9" s="83" t="inlineStr">
        <is>
          <t>KELANTAN</t>
        </is>
      </c>
      <c r="C9" s="84" t="inlineStr">
        <is>
          <t>SHE ATE</t>
        </is>
      </c>
      <c r="D9" s="85" t="inlineStr">
        <is>
          <t>Aktif</t>
        </is>
      </c>
      <c r="E9" s="86">
        <f>IF(HAKIM_H1!$Q9="LENGKAP",HAKIM_H1!$P9,"")</f>
        <v/>
      </c>
      <c r="F9" s="87">
        <f>IF(HAKIM_H2!$Q9="LENGKAP",HAKIM_H2!$P9,"")</f>
        <v/>
      </c>
      <c r="G9" s="88">
        <f>IF(HAKIM_H3!$Q9="LENGKAP",HAKIM_H3!$P9,"")</f>
        <v/>
      </c>
      <c r="H9" s="89">
        <f>COUNT(E9:G9)</f>
        <v/>
      </c>
      <c r="I9" s="90">
        <f>IF(H9=3,ROUND(AVERAGE(E9:G9),2),"")</f>
        <v/>
      </c>
      <c r="J9" s="91">
        <f>IF(D9="BATAL",0,IF(D9="Aktif",I9,""))</f>
        <v/>
      </c>
      <c r="K9" s="92">
        <f>IF(H9=3,IF(AVERAGE(E9:G9)&gt;0,ROUND((MAX(E9:G9)-MIN(E9:G9))/AVERAGE(E9:G9)*100,0),0),"")</f>
        <v/>
      </c>
      <c r="L9" s="93">
        <f>IF(K9="","",IF(K9&gt;20,"SEMAK: sisihan "&amp;K9&amp;"%",""))</f>
        <v/>
      </c>
      <c r="M9" s="94">
        <f>IF(D9="Tarik diri","TARIK DIRI",IF(D9="BATAL","BATAL",IF(PECAH_SERI!M9="","",PECAH_SERI!M9)))</f>
        <v/>
      </c>
      <c r="N9" s="95">
        <f>IF(PECAH_SERI!N9&lt;&gt;"",PECAH_SERI!N9,IF(AND(D9="Aktif",H9&lt;3),"Menunggu "&amp;(3-H9)&amp;" hakim",""))</f>
        <v/>
      </c>
      <c r="P9" s="86">
        <f>JURI!AC9</f>
        <v/>
      </c>
      <c r="Q9" s="58">
        <f>JURI!AD9</f>
        <v/>
      </c>
      <c r="R9" s="96">
        <f>JURI!AE9</f>
        <v/>
      </c>
      <c r="S9" s="97">
        <f>JURI!AF9</f>
        <v/>
      </c>
      <c r="T9" s="98">
        <f>JURI!AG9</f>
        <v/>
      </c>
    </row>
    <row r="10" ht="26" customHeight="1">
      <c r="A10" s="62" t="n">
        <v>5</v>
      </c>
      <c r="B10" s="83" t="inlineStr">
        <is>
          <t>TERENGGANU</t>
        </is>
      </c>
      <c r="C10" s="84" t="inlineStr">
        <is>
          <t>WIRAWATI CYBER</t>
        </is>
      </c>
      <c r="D10" s="85" t="inlineStr">
        <is>
          <t>Aktif</t>
        </is>
      </c>
      <c r="E10" s="86">
        <f>IF(HAKIM_H1!$Q10="LENGKAP",HAKIM_H1!$P10,"")</f>
        <v/>
      </c>
      <c r="F10" s="87">
        <f>IF(HAKIM_H2!$Q10="LENGKAP",HAKIM_H2!$P10,"")</f>
        <v/>
      </c>
      <c r="G10" s="88">
        <f>IF(HAKIM_H3!$Q10="LENGKAP",HAKIM_H3!$P10,"")</f>
        <v/>
      </c>
      <c r="H10" s="89">
        <f>COUNT(E10:G10)</f>
        <v/>
      </c>
      <c r="I10" s="90">
        <f>IF(H10=3,ROUND(AVERAGE(E10:G10),2),"")</f>
        <v/>
      </c>
      <c r="J10" s="91">
        <f>IF(D10="BATAL",0,IF(D10="Aktif",I10,""))</f>
        <v/>
      </c>
      <c r="K10" s="92">
        <f>IF(H10=3,IF(AVERAGE(E10:G10)&gt;0,ROUND((MAX(E10:G10)-MIN(E10:G10))/AVERAGE(E10:G10)*100,0),0),"")</f>
        <v/>
      </c>
      <c r="L10" s="93">
        <f>IF(K10="","",IF(K10&gt;20,"SEMAK: sisihan "&amp;K10&amp;"%",""))</f>
        <v/>
      </c>
      <c r="M10" s="94">
        <f>IF(D10="Tarik diri","TARIK DIRI",IF(D10="BATAL","BATAL",IF(PECAH_SERI!M10="","",PECAH_SERI!M10)))</f>
        <v/>
      </c>
      <c r="N10" s="95">
        <f>IF(PECAH_SERI!N10&lt;&gt;"",PECAH_SERI!N10,IF(AND(D10="Aktif",H10&lt;3),"Menunggu "&amp;(3-H10)&amp;" hakim",""))</f>
        <v/>
      </c>
      <c r="P10" s="86">
        <f>JURI!AC10</f>
        <v/>
      </c>
      <c r="Q10" s="58">
        <f>JURI!AD10</f>
        <v/>
      </c>
      <c r="R10" s="96">
        <f>JURI!AE10</f>
        <v/>
      </c>
      <c r="S10" s="97">
        <f>JURI!AF10</f>
        <v/>
      </c>
      <c r="T10" s="98">
        <f>JURI!AG10</f>
        <v/>
      </c>
    </row>
    <row r="11" ht="26" customHeight="1">
      <c r="A11" s="64" t="n">
        <v>6</v>
      </c>
      <c r="B11" s="83" t="inlineStr">
        <is>
          <t>PAHANG</t>
        </is>
      </c>
      <c r="C11" s="84" t="inlineStr">
        <is>
          <t>YH SRIKANDI</t>
        </is>
      </c>
      <c r="D11" s="85" t="inlineStr">
        <is>
          <t>Aktif</t>
        </is>
      </c>
      <c r="E11" s="86">
        <f>IF(HAKIM_H1!$Q11="LENGKAP",HAKIM_H1!$P11,"")</f>
        <v/>
      </c>
      <c r="F11" s="87">
        <f>IF(HAKIM_H2!$Q11="LENGKAP",HAKIM_H2!$P11,"")</f>
        <v/>
      </c>
      <c r="G11" s="88">
        <f>IF(HAKIM_H3!$Q11="LENGKAP",HAKIM_H3!$P11,"")</f>
        <v/>
      </c>
      <c r="H11" s="89">
        <f>COUNT(E11:G11)</f>
        <v/>
      </c>
      <c r="I11" s="90">
        <f>IF(H11=3,ROUND(AVERAGE(E11:G11),2),"")</f>
        <v/>
      </c>
      <c r="J11" s="91">
        <f>IF(D11="BATAL",0,IF(D11="Aktif",I11,""))</f>
        <v/>
      </c>
      <c r="K11" s="92">
        <f>IF(H11=3,IF(AVERAGE(E11:G11)&gt;0,ROUND((MAX(E11:G11)-MIN(E11:G11))/AVERAGE(E11:G11)*100,0),0),"")</f>
        <v/>
      </c>
      <c r="L11" s="93">
        <f>IF(K11="","",IF(K11&gt;20,"SEMAK: sisihan "&amp;K11&amp;"%",""))</f>
        <v/>
      </c>
      <c r="M11" s="94">
        <f>IF(D11="Tarik diri","TARIK DIRI",IF(D11="BATAL","BATAL",IF(PECAH_SERI!M11="","",PECAH_SERI!M11)))</f>
        <v/>
      </c>
      <c r="N11" s="95">
        <f>IF(PECAH_SERI!N11&lt;&gt;"",PECAH_SERI!N11,IF(AND(D11="Aktif",H11&lt;3),"Menunggu "&amp;(3-H11)&amp;" hakim",""))</f>
        <v/>
      </c>
      <c r="P11" s="86">
        <f>JURI!AC11</f>
        <v/>
      </c>
      <c r="Q11" s="58">
        <f>JURI!AD11</f>
        <v/>
      </c>
      <c r="R11" s="96">
        <f>JURI!AE11</f>
        <v/>
      </c>
      <c r="S11" s="97">
        <f>JURI!AF11</f>
        <v/>
      </c>
      <c r="T11" s="98">
        <f>JURI!AG11</f>
        <v/>
      </c>
    </row>
    <row r="12" ht="26" customHeight="1">
      <c r="A12" s="65" t="n">
        <v>7</v>
      </c>
      <c r="B12" s="83" t="inlineStr">
        <is>
          <t>NEGERI SEMBILAN</t>
        </is>
      </c>
      <c r="C12" s="84" t="inlineStr">
        <is>
          <t>WAGHIH TECHNOVA</t>
        </is>
      </c>
      <c r="D12" s="85" t="inlineStr">
        <is>
          <t>Aktif</t>
        </is>
      </c>
      <c r="E12" s="86">
        <f>IF(HAKIM_H1!$Q12="LENGKAP",HAKIM_H1!$P12,"")</f>
        <v/>
      </c>
      <c r="F12" s="87">
        <f>IF(HAKIM_H2!$Q12="LENGKAP",HAKIM_H2!$P12,"")</f>
        <v/>
      </c>
      <c r="G12" s="88">
        <f>IF(HAKIM_H3!$Q12="LENGKAP",HAKIM_H3!$P12,"")</f>
        <v/>
      </c>
      <c r="H12" s="89">
        <f>COUNT(E12:G12)</f>
        <v/>
      </c>
      <c r="I12" s="90">
        <f>IF(H12=3,ROUND(AVERAGE(E12:G12),2),"")</f>
        <v/>
      </c>
      <c r="J12" s="91">
        <f>IF(D12="BATAL",0,IF(D12="Aktif",I12,""))</f>
        <v/>
      </c>
      <c r="K12" s="92">
        <f>IF(H12=3,IF(AVERAGE(E12:G12)&gt;0,ROUND((MAX(E12:G12)-MIN(E12:G12))/AVERAGE(E12:G12)*100,0),0),"")</f>
        <v/>
      </c>
      <c r="L12" s="93">
        <f>IF(K12="","",IF(K12&gt;20,"SEMAK: sisihan "&amp;K12&amp;"%",""))</f>
        <v/>
      </c>
      <c r="M12" s="94">
        <f>IF(D12="Tarik diri","TARIK DIRI",IF(D12="BATAL","BATAL",IF(PECAH_SERI!M12="","",PECAH_SERI!M12)))</f>
        <v/>
      </c>
      <c r="N12" s="95">
        <f>IF(PECAH_SERI!N12&lt;&gt;"",PECAH_SERI!N12,IF(AND(D12="Aktif",H12&lt;3),"Menunggu "&amp;(3-H12)&amp;" hakim",""))</f>
        <v/>
      </c>
      <c r="P12" s="86">
        <f>JURI!AC12</f>
        <v/>
      </c>
      <c r="Q12" s="58">
        <f>JURI!AD12</f>
        <v/>
      </c>
      <c r="R12" s="96">
        <f>JURI!AE12</f>
        <v/>
      </c>
      <c r="S12" s="97">
        <f>JURI!AF12</f>
        <v/>
      </c>
      <c r="T12" s="98">
        <f>JURI!AG12</f>
        <v/>
      </c>
    </row>
    <row r="13" ht="26" customHeight="1">
      <c r="A13" s="66" t="n">
        <v>8</v>
      </c>
      <c r="B13" s="83" t="inlineStr">
        <is>
          <t>MELAKA</t>
        </is>
      </c>
      <c r="C13" s="84" t="inlineStr">
        <is>
          <t>TUN TEJA</t>
        </is>
      </c>
      <c r="D13" s="85" t="inlineStr">
        <is>
          <t>Aktif</t>
        </is>
      </c>
      <c r="E13" s="86">
        <f>IF(HAKIM_H1!$Q13="LENGKAP",HAKIM_H1!$P13,"")</f>
        <v/>
      </c>
      <c r="F13" s="87">
        <f>IF(HAKIM_H2!$Q13="LENGKAP",HAKIM_H2!$P13,"")</f>
        <v/>
      </c>
      <c r="G13" s="88">
        <f>IF(HAKIM_H3!$Q13="LENGKAP",HAKIM_H3!$P13,"")</f>
        <v/>
      </c>
      <c r="H13" s="89">
        <f>COUNT(E13:G13)</f>
        <v/>
      </c>
      <c r="I13" s="90">
        <f>IF(H13=3,ROUND(AVERAGE(E13:G13),2),"")</f>
        <v/>
      </c>
      <c r="J13" s="91">
        <f>IF(D13="BATAL",0,IF(D13="Aktif",I13,""))</f>
        <v/>
      </c>
      <c r="K13" s="92">
        <f>IF(H13=3,IF(AVERAGE(E13:G13)&gt;0,ROUND((MAX(E13:G13)-MIN(E13:G13))/AVERAGE(E13:G13)*100,0),0),"")</f>
        <v/>
      </c>
      <c r="L13" s="93">
        <f>IF(K13="","",IF(K13&gt;20,"SEMAK: sisihan "&amp;K13&amp;"%",""))</f>
        <v/>
      </c>
      <c r="M13" s="94">
        <f>IF(D13="Tarik diri","TARIK DIRI",IF(D13="BATAL","BATAL",IF(PECAH_SERI!M13="","",PECAH_SERI!M13)))</f>
        <v/>
      </c>
      <c r="N13" s="95">
        <f>IF(PECAH_SERI!N13&lt;&gt;"",PECAH_SERI!N13,IF(AND(D13="Aktif",H13&lt;3),"Menunggu "&amp;(3-H13)&amp;" hakim",""))</f>
        <v/>
      </c>
      <c r="P13" s="86">
        <f>JURI!AC13</f>
        <v/>
      </c>
      <c r="Q13" s="58">
        <f>JURI!AD13</f>
        <v/>
      </c>
      <c r="R13" s="96">
        <f>JURI!AE13</f>
        <v/>
      </c>
      <c r="S13" s="97">
        <f>JURI!AF13</f>
        <v/>
      </c>
      <c r="T13" s="98">
        <f>JURI!AG13</f>
        <v/>
      </c>
    </row>
    <row r="14" ht="26" customHeight="1">
      <c r="A14" s="67" t="n">
        <v>9</v>
      </c>
      <c r="B14" s="83" t="inlineStr">
        <is>
          <t>PERAK</t>
        </is>
      </c>
      <c r="C14" s="84" t="inlineStr">
        <is>
          <t>VORTEX</t>
        </is>
      </c>
      <c r="D14" s="85" t="inlineStr">
        <is>
          <t>Aktif</t>
        </is>
      </c>
      <c r="E14" s="86">
        <f>IF(HAKIM_H1!$Q14="LENGKAP",HAKIM_H1!$P14,"")</f>
        <v/>
      </c>
      <c r="F14" s="87">
        <f>IF(HAKIM_H2!$Q14="LENGKAP",HAKIM_H2!$P14,"")</f>
        <v/>
      </c>
      <c r="G14" s="88">
        <f>IF(HAKIM_H3!$Q14="LENGKAP",HAKIM_H3!$P14,"")</f>
        <v/>
      </c>
      <c r="H14" s="89">
        <f>COUNT(E14:G14)</f>
        <v/>
      </c>
      <c r="I14" s="90">
        <f>IF(H14=3,ROUND(AVERAGE(E14:G14),2),"")</f>
        <v/>
      </c>
      <c r="J14" s="91">
        <f>IF(D14="BATAL",0,IF(D14="Aktif",I14,""))</f>
        <v/>
      </c>
      <c r="K14" s="92">
        <f>IF(H14=3,IF(AVERAGE(E14:G14)&gt;0,ROUND((MAX(E14:G14)-MIN(E14:G14))/AVERAGE(E14:G14)*100,0),0),"")</f>
        <v/>
      </c>
      <c r="L14" s="93">
        <f>IF(K14="","",IF(K14&gt;20,"SEMAK: sisihan "&amp;K14&amp;"%",""))</f>
        <v/>
      </c>
      <c r="M14" s="94">
        <f>IF(D14="Tarik diri","TARIK DIRI",IF(D14="BATAL","BATAL",IF(PECAH_SERI!M14="","",PECAH_SERI!M14)))</f>
        <v/>
      </c>
      <c r="N14" s="95">
        <f>IF(PECAH_SERI!N14&lt;&gt;"",PECAH_SERI!N14,IF(AND(D14="Aktif",H14&lt;3),"Menunggu "&amp;(3-H14)&amp;" hakim",""))</f>
        <v/>
      </c>
      <c r="P14" s="86">
        <f>JURI!AC14</f>
        <v/>
      </c>
      <c r="Q14" s="58">
        <f>JURI!AD14</f>
        <v/>
      </c>
      <c r="R14" s="96">
        <f>JURI!AE14</f>
        <v/>
      </c>
      <c r="S14" s="97">
        <f>JURI!AF14</f>
        <v/>
      </c>
      <c r="T14" s="98">
        <f>JURI!AG14</f>
        <v/>
      </c>
    </row>
    <row r="15" ht="26" customHeight="1">
      <c r="A15" s="52" t="n">
        <v>10</v>
      </c>
      <c r="B15" s="83" t="inlineStr">
        <is>
          <t>SELANGOR</t>
        </is>
      </c>
      <c r="C15" s="84" t="inlineStr">
        <is>
          <t>BYTESYNC</t>
        </is>
      </c>
      <c r="D15" s="85" t="inlineStr">
        <is>
          <t>Aktif</t>
        </is>
      </c>
      <c r="E15" s="86">
        <f>IF(HAKIM_H1!$Q15="LENGKAP",HAKIM_H1!$P15,"")</f>
        <v/>
      </c>
      <c r="F15" s="87">
        <f>IF(HAKIM_H2!$Q15="LENGKAP",HAKIM_H2!$P15,"")</f>
        <v/>
      </c>
      <c r="G15" s="88">
        <f>IF(HAKIM_H3!$Q15="LENGKAP",HAKIM_H3!$P15,"")</f>
        <v/>
      </c>
      <c r="H15" s="89">
        <f>COUNT(E15:G15)</f>
        <v/>
      </c>
      <c r="I15" s="90">
        <f>IF(H15=3,ROUND(AVERAGE(E15:G15),2),"")</f>
        <v/>
      </c>
      <c r="J15" s="91">
        <f>IF(D15="BATAL",0,IF(D15="Aktif",I15,""))</f>
        <v/>
      </c>
      <c r="K15" s="92">
        <f>IF(H15=3,IF(AVERAGE(E15:G15)&gt;0,ROUND((MAX(E15:G15)-MIN(E15:G15))/AVERAGE(E15:G15)*100,0),0),"")</f>
        <v/>
      </c>
      <c r="L15" s="93">
        <f>IF(K15="","",IF(K15&gt;20,"SEMAK: sisihan "&amp;K15&amp;"%",""))</f>
        <v/>
      </c>
      <c r="M15" s="94">
        <f>IF(D15="Tarik diri","TARIK DIRI",IF(D15="BATAL","BATAL",IF(PECAH_SERI!M15="","",PECAH_SERI!M15)))</f>
        <v/>
      </c>
      <c r="N15" s="95">
        <f>IF(PECAH_SERI!N15&lt;&gt;"",PECAH_SERI!N15,IF(AND(D15="Aktif",H15&lt;3),"Menunggu "&amp;(3-H15)&amp;" hakim",""))</f>
        <v/>
      </c>
      <c r="P15" s="86">
        <f>JURI!AC15</f>
        <v/>
      </c>
      <c r="Q15" s="58">
        <f>JURI!AD15</f>
        <v/>
      </c>
      <c r="R15" s="96">
        <f>JURI!AE15</f>
        <v/>
      </c>
      <c r="S15" s="97">
        <f>JURI!AF15</f>
        <v/>
      </c>
      <c r="T15" s="98">
        <f>JURI!AG15</f>
        <v/>
      </c>
    </row>
    <row r="16" ht="26" customHeight="1">
      <c r="A16" s="61" t="n">
        <v>11</v>
      </c>
      <c r="B16" s="83" t="inlineStr">
        <is>
          <t>JOHOR</t>
        </is>
      </c>
      <c r="C16" s="84" t="inlineStr">
        <is>
          <t>DWI KARYA</t>
        </is>
      </c>
      <c r="D16" s="85" t="inlineStr">
        <is>
          <t>Aktif</t>
        </is>
      </c>
      <c r="E16" s="86">
        <f>IF(HAKIM_H1!$Q16="LENGKAP",HAKIM_H1!$P16,"")</f>
        <v/>
      </c>
      <c r="F16" s="87">
        <f>IF(HAKIM_H2!$Q16="LENGKAP",HAKIM_H2!$P16,"")</f>
        <v/>
      </c>
      <c r="G16" s="88">
        <f>IF(HAKIM_H3!$Q16="LENGKAP",HAKIM_H3!$P16,"")</f>
        <v/>
      </c>
      <c r="H16" s="89">
        <f>COUNT(E16:G16)</f>
        <v/>
      </c>
      <c r="I16" s="90">
        <f>IF(H16=3,ROUND(AVERAGE(E16:G16),2),"")</f>
        <v/>
      </c>
      <c r="J16" s="91">
        <f>IF(D16="BATAL",0,IF(D16="Aktif",I16,""))</f>
        <v/>
      </c>
      <c r="K16" s="92">
        <f>IF(H16=3,IF(AVERAGE(E16:G16)&gt;0,ROUND((MAX(E16:G16)-MIN(E16:G16))/AVERAGE(E16:G16)*100,0),0),"")</f>
        <v/>
      </c>
      <c r="L16" s="93">
        <f>IF(K16="","",IF(K16&gt;20,"SEMAK: sisihan "&amp;K16&amp;"%",""))</f>
        <v/>
      </c>
      <c r="M16" s="94">
        <f>IF(D16="Tarik diri","TARIK DIRI",IF(D16="BATAL","BATAL",IF(PECAH_SERI!M16="","",PECAH_SERI!M16)))</f>
        <v/>
      </c>
      <c r="N16" s="95">
        <f>IF(PECAH_SERI!N16&lt;&gt;"",PECAH_SERI!N16,IF(AND(D16="Aktif",H16&lt;3),"Menunggu "&amp;(3-H16)&amp;" hakim",""))</f>
        <v/>
      </c>
      <c r="P16" s="86">
        <f>JURI!AC16</f>
        <v/>
      </c>
      <c r="Q16" s="58">
        <f>JURI!AD16</f>
        <v/>
      </c>
      <c r="R16" s="96">
        <f>JURI!AE16</f>
        <v/>
      </c>
      <c r="S16" s="97">
        <f>JURI!AF16</f>
        <v/>
      </c>
      <c r="T16" s="98">
        <f>JURI!AG16</f>
        <v/>
      </c>
    </row>
    <row r="17" ht="26" customHeight="1">
      <c r="A17" s="63" t="n">
        <v>12</v>
      </c>
      <c r="B17" s="83" t="inlineStr">
        <is>
          <t>WILAYAH PERSEKUTUAN</t>
        </is>
      </c>
      <c r="C17" s="84" t="inlineStr">
        <is>
          <t>SRIKANDI ULTRA</t>
        </is>
      </c>
      <c r="D17" s="85" t="inlineStr">
        <is>
          <t>Aktif</t>
        </is>
      </c>
      <c r="E17" s="86">
        <f>IF(HAKIM_H1!$Q17="LENGKAP",HAKIM_H1!$P17,"")</f>
        <v/>
      </c>
      <c r="F17" s="87">
        <f>IF(HAKIM_H2!$Q17="LENGKAP",HAKIM_H2!$P17,"")</f>
        <v/>
      </c>
      <c r="G17" s="88">
        <f>IF(HAKIM_H3!$Q17="LENGKAP",HAKIM_H3!$P17,"")</f>
        <v/>
      </c>
      <c r="H17" s="89">
        <f>COUNT(E17:G17)</f>
        <v/>
      </c>
      <c r="I17" s="90">
        <f>IF(H17=3,ROUND(AVERAGE(E17:G17),2),"")</f>
        <v/>
      </c>
      <c r="J17" s="91">
        <f>IF(D17="BATAL",0,IF(D17="Aktif",I17,""))</f>
        <v/>
      </c>
      <c r="K17" s="92">
        <f>IF(H17=3,IF(AVERAGE(E17:G17)&gt;0,ROUND((MAX(E17:G17)-MIN(E17:G17))/AVERAGE(E17:G17)*100,0),0),"")</f>
        <v/>
      </c>
      <c r="L17" s="93">
        <f>IF(K17="","",IF(K17&gt;20,"SEMAK: sisihan "&amp;K17&amp;"%",""))</f>
        <v/>
      </c>
      <c r="M17" s="94">
        <f>IF(D17="Tarik diri","TARIK DIRI",IF(D17="BATAL","BATAL",IF(PECAH_SERI!M17="","",PECAH_SERI!M17)))</f>
        <v/>
      </c>
      <c r="N17" s="95">
        <f>IF(PECAH_SERI!N17&lt;&gt;"",PECAH_SERI!N17,IF(AND(D17="Aktif",H17&lt;3),"Menunggu "&amp;(3-H17)&amp;" hakim",""))</f>
        <v/>
      </c>
      <c r="P17" s="86">
        <f>JURI!AC17</f>
        <v/>
      </c>
      <c r="Q17" s="58">
        <f>JURI!AD17</f>
        <v/>
      </c>
      <c r="R17" s="96">
        <f>JURI!AE17</f>
        <v/>
      </c>
      <c r="S17" s="97">
        <f>JURI!AF17</f>
        <v/>
      </c>
      <c r="T17" s="98">
        <f>JURI!AG17</f>
        <v/>
      </c>
    </row>
    <row r="18" ht="26" customHeight="1">
      <c r="A18" s="57" t="n">
        <v>13</v>
      </c>
      <c r="B18" s="83" t="inlineStr">
        <is>
          <t>SARAWAK</t>
        </is>
      </c>
      <c r="C18" s="84" t="inlineStr">
        <is>
          <t>KENYALANG WARRIOR</t>
        </is>
      </c>
      <c r="D18" s="85" t="inlineStr">
        <is>
          <t>Aktif</t>
        </is>
      </c>
      <c r="E18" s="86">
        <f>IF(HAKIM_H1!$Q18="LENGKAP",HAKIM_H1!$P18,"")</f>
        <v/>
      </c>
      <c r="F18" s="87">
        <f>IF(HAKIM_H2!$Q18="LENGKAP",HAKIM_H2!$P18,"")</f>
        <v/>
      </c>
      <c r="G18" s="88">
        <f>IF(HAKIM_H3!$Q18="LENGKAP",HAKIM_H3!$P18,"")</f>
        <v/>
      </c>
      <c r="H18" s="89">
        <f>COUNT(E18:G18)</f>
        <v/>
      </c>
      <c r="I18" s="90">
        <f>IF(H18=3,ROUND(AVERAGE(E18:G18),2),"")</f>
        <v/>
      </c>
      <c r="J18" s="91">
        <f>IF(D18="BATAL",0,IF(D18="Aktif",I18,""))</f>
        <v/>
      </c>
      <c r="K18" s="92">
        <f>IF(H18=3,IF(AVERAGE(E18:G18)&gt;0,ROUND((MAX(E18:G18)-MIN(E18:G18))/AVERAGE(E18:G18)*100,0),0),"")</f>
        <v/>
      </c>
      <c r="L18" s="93">
        <f>IF(K18="","",IF(K18&gt;20,"SEMAK: sisihan "&amp;K18&amp;"%",""))</f>
        <v/>
      </c>
      <c r="M18" s="94">
        <f>IF(D18="Tarik diri","TARIK DIRI",IF(D18="BATAL","BATAL",IF(PECAH_SERI!M18="","",PECAH_SERI!M18)))</f>
        <v/>
      </c>
      <c r="N18" s="95">
        <f>IF(PECAH_SERI!N18&lt;&gt;"",PECAH_SERI!N18,IF(AND(D18="Aktif",H18&lt;3),"Menunggu "&amp;(3-H18)&amp;" hakim",""))</f>
        <v/>
      </c>
      <c r="P18" s="86">
        <f>JURI!AC18</f>
        <v/>
      </c>
      <c r="Q18" s="58">
        <f>JURI!AD18</f>
        <v/>
      </c>
      <c r="R18" s="96">
        <f>JURI!AE18</f>
        <v/>
      </c>
      <c r="S18" s="97">
        <f>JURI!AF18</f>
        <v/>
      </c>
      <c r="T18" s="98">
        <f>JURI!AG18</f>
        <v/>
      </c>
    </row>
    <row r="19" ht="26" customHeight="1">
      <c r="A19" s="62" t="n">
        <v>14</v>
      </c>
      <c r="B19" s="83" t="inlineStr">
        <is>
          <t>SABAH</t>
        </is>
      </c>
      <c r="C19" s="84" t="inlineStr">
        <is>
          <t>BORNEO FRAME</t>
        </is>
      </c>
      <c r="D19" s="85" t="inlineStr">
        <is>
          <t>Aktif</t>
        </is>
      </c>
      <c r="E19" s="86">
        <f>IF(HAKIM_H1!$Q19="LENGKAP",HAKIM_H1!$P19,"")</f>
        <v/>
      </c>
      <c r="F19" s="87">
        <f>IF(HAKIM_H2!$Q19="LENGKAP",HAKIM_H2!$P19,"")</f>
        <v/>
      </c>
      <c r="G19" s="88">
        <f>IF(HAKIM_H3!$Q19="LENGKAP",HAKIM_H3!$P19,"")</f>
        <v/>
      </c>
      <c r="H19" s="89">
        <f>COUNT(E19:G19)</f>
        <v/>
      </c>
      <c r="I19" s="90">
        <f>IF(H19=3,ROUND(AVERAGE(E19:G19),2),"")</f>
        <v/>
      </c>
      <c r="J19" s="91">
        <f>IF(D19="BATAL",0,IF(D19="Aktif",I19,""))</f>
        <v/>
      </c>
      <c r="K19" s="92">
        <f>IF(H19=3,IF(AVERAGE(E19:G19)&gt;0,ROUND((MAX(E19:G19)-MIN(E19:G19))/AVERAGE(E19:G19)*100,0),0),"")</f>
        <v/>
      </c>
      <c r="L19" s="93">
        <f>IF(K19="","",IF(K19&gt;20,"SEMAK: sisihan "&amp;K19&amp;"%",""))</f>
        <v/>
      </c>
      <c r="M19" s="94">
        <f>IF(D19="Tarik diri","TARIK DIRI",IF(D19="BATAL","BATAL",IF(PECAH_SERI!M19="","",PECAH_SERI!M19)))</f>
        <v/>
      </c>
      <c r="N19" s="95">
        <f>IF(PECAH_SERI!N19&lt;&gt;"",PECAH_SERI!N19,IF(AND(D19="Aktif",H19&lt;3),"Menunggu "&amp;(3-H19)&amp;" hakim",""))</f>
        <v/>
      </c>
      <c r="P19" s="86">
        <f>JURI!AC19</f>
        <v/>
      </c>
      <c r="Q19" s="58">
        <f>JURI!AD19</f>
        <v/>
      </c>
      <c r="R19" s="96">
        <f>JURI!AE19</f>
        <v/>
      </c>
      <c r="S19" s="97">
        <f>JURI!AF19</f>
        <v/>
      </c>
      <c r="T19" s="98">
        <f>JURI!AG19</f>
        <v/>
      </c>
    </row>
    <row r="21" ht="26" customHeight="1">
      <c r="A21" s="73" t="inlineStr">
        <is>
          <t>PENGESAHAN (GP 15.6): markah akhir wajib dikira semula dan disahkan oleh DUA orang Urusetia Kehakiman</t>
        </is>
      </c>
      <c r="B21" s="37" t="n"/>
      <c r="C21" s="37" t="n"/>
      <c r="D21" s="37" t="n"/>
      <c r="E21" s="37" t="n"/>
      <c r="F21" s="37" t="n"/>
      <c r="G21" s="37" t="n"/>
      <c r="H21" s="37" t="n"/>
      <c r="I21" s="37" t="n"/>
      <c r="J21" s="37" t="n"/>
      <c r="K21" s="37" t="n"/>
      <c r="L21" s="37" t="n"/>
      <c r="M21" s="37" t="n"/>
      <c r="N21" s="37" t="n"/>
    </row>
    <row r="22" ht="28" customHeight="1">
      <c r="A22" s="70" t="inlineStr">
        <is>
          <t>Urusetia 1 (nama penuh)</t>
        </is>
      </c>
      <c r="B22" s="41" t="n"/>
      <c r="C22" s="41" t="n"/>
      <c r="D22" s="99" t="n"/>
      <c r="E22" s="100" t="n"/>
      <c r="F22" s="100" t="n"/>
      <c r="G22" s="100" t="n"/>
      <c r="H22" s="101" t="inlineStr">
        <is>
          <t>Tarikh dan masa</t>
        </is>
      </c>
      <c r="I22" s="41" t="n"/>
      <c r="J22" s="102" t="n"/>
      <c r="K22" s="100" t="n"/>
      <c r="L22" s="100" t="n"/>
    </row>
    <row r="23" ht="28" customHeight="1">
      <c r="A23" s="70" t="inlineStr">
        <is>
          <t>Urusetia 2 (nama penuh)</t>
        </is>
      </c>
      <c r="B23" s="41" t="n"/>
      <c r="C23" s="41" t="n"/>
      <c r="D23" s="99" t="n"/>
      <c r="E23" s="100" t="n"/>
      <c r="F23" s="100" t="n"/>
      <c r="G23" s="100" t="n"/>
      <c r="H23" s="101" t="inlineStr">
        <is>
          <t>Tarikh dan masa</t>
        </is>
      </c>
      <c r="I23" s="41" t="n"/>
      <c r="J23" s="102" t="n"/>
      <c r="K23" s="100" t="n"/>
      <c r="L23" s="100" t="n"/>
    </row>
    <row r="24" ht="28" customHeight="1">
      <c r="A24" s="70" t="inlineStr">
        <is>
          <t>Ketua Hakim (H1) mengesahkan</t>
        </is>
      </c>
      <c r="B24" s="41" t="n"/>
      <c r="C24" s="41" t="n"/>
      <c r="D24" s="103" t="inlineStr">
        <is>
          <t>Belum</t>
        </is>
      </c>
      <c r="E24" s="100" t="n"/>
      <c r="F24" s="100" t="n"/>
      <c r="G24" s="100" t="n"/>
      <c r="H24" s="104" t="inlineStr">
        <is>
          <t>Seri penuh diputuskan panel</t>
        </is>
      </c>
      <c r="I24" s="41" t="n"/>
      <c r="J24" s="103" t="inlineStr">
        <is>
          <t>Tidak berkenaan</t>
        </is>
      </c>
      <c r="K24" s="100" t="n"/>
      <c r="L24" s="100" t="n"/>
    </row>
    <row r="25" ht="28" customHeight="1">
      <c r="A25" s="70" t="inlineStr">
        <is>
          <t>STATUS KEPUTUSAN</t>
        </is>
      </c>
      <c r="B25" s="41" t="n"/>
      <c r="C25" s="41" t="n"/>
      <c r="D25" s="60">
        <f>IF(COUNTIF(D6:D19,"Aktif")=0,"BELUM MUKTAMAD: tiada pasukan aktif",IF(COUNTIF(D6:D19,"Aktif")&lt;&gt;COUNTIFS(D6:D19,"Aktif",H6:H19,3),"BELUM MUKTAMAD: ada pasukan belum lengkap tiga hakim",IF(COUNTIF(SEMAKAN!E6:E19,"BEZA*")&gt;0,"BELUM MUKTAMAD: kiraan semula BEZA, semak tab SEMAKAN",IF(OR(D22="",D23="",D22=D23),"BELUM MUKTAMAD: perlu dua nama Urusetia yang berbeza",IF(D24&lt;&gt;"Ya","BELUM MUKTAMAD: Ketua Hakim belum mengesahkan",IF(AND(COUNTIF(PECAH_SERI!N6:N19,"SERI*")&gt;0,J24&lt;&gt;"Ya, direkod"),"BELUM MUKTAMAD: seri penuh belum diputuskan panel","MUKTAMAD: dikira semula dan disahkan dua urus setia"))))))</f>
        <v/>
      </c>
      <c r="E25" s="71" t="n"/>
      <c r="F25" s="71" t="n"/>
      <c r="G25" s="71" t="n"/>
      <c r="H25" s="71" t="n"/>
      <c r="I25" s="71" t="n"/>
      <c r="J25" s="71" t="n"/>
      <c r="K25" s="71" t="n"/>
      <c r="L25" s="71" t="n"/>
      <c r="M25" s="71" t="n"/>
      <c r="N25" s="71" t="n"/>
    </row>
  </sheetData>
  <mergeCells count="21">
    <mergeCell ref="A25:C25"/>
    <mergeCell ref="J24:L24"/>
    <mergeCell ref="P4:T4"/>
    <mergeCell ref="D24:G24"/>
    <mergeCell ref="A1:T1"/>
    <mergeCell ref="D23:G23"/>
    <mergeCell ref="A23:C23"/>
    <mergeCell ref="J22:L22"/>
    <mergeCell ref="A22:C22"/>
    <mergeCell ref="E3:N3"/>
    <mergeCell ref="D22:G22"/>
    <mergeCell ref="A21:N21"/>
    <mergeCell ref="J23:L23"/>
    <mergeCell ref="A2:T2"/>
    <mergeCell ref="H22:I22"/>
    <mergeCell ref="A24:C24"/>
    <mergeCell ref="D25:N25"/>
    <mergeCell ref="A4:N4"/>
    <mergeCell ref="H24:I24"/>
    <mergeCell ref="A3:D3"/>
    <mergeCell ref="H23:I23"/>
  </mergeCells>
  <conditionalFormatting sqref="E3">
    <cfRule type="expression" priority="1" dxfId="3" stopIfTrue="0">
      <formula>LEFT($E$3,5)="SEMUA"</formula>
    </cfRule>
    <cfRule type="expression" priority="2" dxfId="4" stopIfTrue="0">
      <formula>LEFT($E$3,5)="SEMEN"</formula>
    </cfRule>
  </conditionalFormatting>
  <conditionalFormatting sqref="L6:L19">
    <cfRule type="expression" priority="3" dxfId="4" stopIfTrue="0">
      <formula>LEFT($L6,5)="SEMAK"</formula>
    </cfRule>
  </conditionalFormatting>
  <conditionalFormatting sqref="M6:M19">
    <cfRule type="expression" priority="4" dxfId="0" stopIfTrue="0">
      <formula>AND(ISNUMBER($M6),$M6=1)</formula>
    </cfRule>
    <cfRule type="expression" priority="5" dxfId="1" stopIfTrue="0">
      <formula>AND(ISNUMBER($M6),$M6=2)</formula>
    </cfRule>
    <cfRule type="expression" priority="6" dxfId="2" stopIfTrue="0">
      <formula>AND(ISNUMBER($M6),$M6=3)</formula>
    </cfRule>
  </conditionalFormatting>
  <conditionalFormatting sqref="S6:S19">
    <cfRule type="expression" priority="7" dxfId="0" stopIfTrue="0">
      <formula>AND(ISNUMBER($S6),$S6=1)</formula>
    </cfRule>
  </conditionalFormatting>
  <conditionalFormatting sqref="N6:N19">
    <cfRule type="expression" priority="8" dxfId="5" stopIfTrue="0">
      <formula>LEFT($N6,4)="SERI"</formula>
    </cfRule>
  </conditionalFormatting>
  <conditionalFormatting sqref="D25">
    <cfRule type="expression" priority="9" dxfId="3" stopIfTrue="0">
      <formula>LEFT($D$25,8)="MUKTAMAD"</formula>
    </cfRule>
    <cfRule type="expression" priority="10" dxfId="4" stopIfTrue="0">
      <formula>LEFT($D$25,5)="BELUM"</formula>
    </cfRule>
  </conditionalFormatting>
  <dataValidations count="3">
    <dataValidation sqref="D6:D19" showDropDown="0" showInputMessage="0" showErrorMessage="1" allowBlank="1" errorTitle="Pilihan tidak sah" error="Pilih daripada senarai: Aktif, Tarik diri, BATAL" type="list" errorStyle="stop">
      <formula1>"Aktif,Tarik diri,BATAL"</formula1>
    </dataValidation>
    <dataValidation sqref="D24" showDropDown="0" showInputMessage="0" showErrorMessage="1" allowBlank="1" errorTitle="Pilihan tidak sah" error="Pilih daripada senarai: Belum, Ya" type="list" errorStyle="stop">
      <formula1>"Belum,Ya"</formula1>
    </dataValidation>
    <dataValidation sqref="J24" showDropDown="0" showInputMessage="0" showErrorMessage="1" allowBlank="1" errorTitle="Pilihan tidak sah" error="Pilih daripada senarai: Tidak berkenaan, Ya, direkod, Belum" type="list" errorStyle="stop">
      <formula1>"Tidak berkenaan,Ya, direkod,Belum"</formula1>
    </dataValidation>
  </dataValidation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0891B2"/>
    <outlinePr summaryBelow="1" summaryRight="1"/>
    <pageSetUpPr fitToPage="1"/>
  </sheetPr>
  <dimension ref="A1:Q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4" customWidth="1" min="13" max="13"/>
    <col width="12" customWidth="1" min="14" max="14"/>
    <col width="11" customWidth="1" min="15" max="15"/>
    <col width="13" customWidth="1" min="16" max="16"/>
    <col width="26" customWidth="1" min="17" max="17"/>
  </cols>
  <sheetData>
    <row r="1" ht="32" customHeight="1">
      <c r="A1" s="1" t="inlineStr">
        <is>
          <t>MARKAH HAKIM H1  |  tampal daripada tab SALIN borang hakim berkenaan</t>
        </is>
      </c>
      <c r="B1" s="2" t="n"/>
      <c r="C1" s="2" t="n"/>
      <c r="D1" s="2" t="n"/>
      <c r="E1" s="2" t="n"/>
      <c r="F1" s="2" t="n"/>
      <c r="G1" s="2" t="n"/>
      <c r="H1" s="2" t="n"/>
      <c r="I1" s="2" t="n"/>
      <c r="J1" s="2" t="n"/>
      <c r="K1" s="2" t="n"/>
      <c r="L1" s="2" t="n"/>
      <c r="M1" s="2" t="n"/>
      <c r="N1" s="2" t="n"/>
      <c r="O1" s="2" t="n"/>
      <c r="P1" s="2" t="n"/>
      <c r="Q1" s="2" t="n"/>
    </row>
    <row r="2" ht="24" customHeight="1">
      <c r="A2" s="3" t="inlineStr">
        <is>
          <t>Tampal NILAI SAHAJA (Ctrl+Shift+V) dari A5:M18 borang hakim ke sel A6. Lajur N hingga Q dikira dan disemak automatik. Jangan taip di lajur biru.</t>
        </is>
      </c>
      <c r="B2" s="4" t="n"/>
      <c r="C2" s="4" t="n"/>
      <c r="D2" s="4" t="n"/>
      <c r="E2" s="4" t="n"/>
      <c r="F2" s="4" t="n"/>
      <c r="G2" s="4" t="n"/>
      <c r="H2" s="4" t="n"/>
      <c r="I2" s="4" t="n"/>
      <c r="J2" s="4" t="n"/>
      <c r="K2" s="4" t="n"/>
      <c r="L2" s="4" t="n"/>
      <c r="M2" s="4" t="n"/>
      <c r="N2" s="4" t="n"/>
      <c r="O2" s="4" t="n"/>
      <c r="P2" s="4" t="n"/>
      <c r="Q2" s="4" t="n"/>
    </row>
    <row r="3" ht="26" customHeight="1">
      <c r="A3" s="105" t="inlineStr">
        <is>
          <t>Hakim: H1  (Ketua Hakim)</t>
        </is>
      </c>
      <c r="B3" s="41" t="n"/>
      <c r="C3" s="41" t="n"/>
      <c r="D3" s="41" t="n"/>
    </row>
    <row r="4" ht="26" customHeight="1">
      <c r="A4" s="106" t="inlineStr">
        <is>
          <t>Maksimum</t>
        </is>
      </c>
      <c r="B4" s="107" t="n">
        <v>20</v>
      </c>
      <c r="C4" s="108" t="n">
        <v>15</v>
      </c>
      <c r="D4" s="109" t="n">
        <v>15</v>
      </c>
      <c r="E4" s="110" t="n">
        <v>10</v>
      </c>
      <c r="F4" s="111" t="n">
        <v>10</v>
      </c>
      <c r="G4" s="94" t="n">
        <v>10</v>
      </c>
      <c r="H4" s="97" t="n">
        <v>5</v>
      </c>
      <c r="I4" s="112" t="n">
        <v>10</v>
      </c>
      <c r="J4" s="113" t="n">
        <v>5</v>
      </c>
      <c r="K4" s="114" t="n">
        <v>3</v>
      </c>
      <c r="L4" s="114" t="n">
        <v>2</v>
      </c>
      <c r="M4" s="115" t="n"/>
      <c r="N4" s="115" t="n"/>
      <c r="O4" s="115" t="n"/>
      <c r="P4" s="115" t="n"/>
      <c r="Q4" s="115" t="n"/>
    </row>
    <row r="5" ht="48" customHeight="1">
      <c r="A5" s="50" t="inlineStr">
        <is>
          <t>Negeri</t>
        </is>
      </c>
      <c r="B5" s="75" t="inlineStr">
        <is>
          <t>Kreativiti</t>
        </is>
      </c>
      <c r="C5" s="74" t="inlineStr">
        <is>
          <t>Kandungan</t>
        </is>
      </c>
      <c r="D5" s="76" t="inlineStr">
        <is>
          <t>Canva</t>
        </is>
      </c>
      <c r="E5" s="77" t="inlineStr">
        <is>
          <t>AI</t>
        </is>
      </c>
      <c r="F5" s="78" t="inlineStr">
        <is>
          <t>CapCut</t>
        </is>
      </c>
      <c r="G5" s="81" t="inlineStr">
        <is>
          <t>Audio</t>
        </is>
      </c>
      <c r="H5" s="79" t="inlineStr">
        <is>
          <t>Etika</t>
        </is>
      </c>
      <c r="I5" s="116" t="inlineStr">
        <is>
          <t>Persembahan</t>
        </is>
      </c>
      <c r="J5" s="117" t="inlineStr">
        <is>
          <t>AURORA</t>
        </is>
      </c>
      <c r="K5" s="80" t="inlineStr">
        <is>
          <t>Penalti aset</t>
        </is>
      </c>
      <c r="L5" s="80" t="inlineStr">
        <is>
          <t>Penalti budi</t>
        </is>
      </c>
      <c r="M5" s="82" t="inlineStr">
        <is>
          <t>Jumlah akhir (rujukan hakim)</t>
        </is>
      </c>
      <c r="N5" s="81" t="inlineStr">
        <is>
          <t>Jumlah komponen</t>
        </is>
      </c>
      <c r="O5" s="80" t="inlineStr">
        <is>
          <t>Penalti</t>
        </is>
      </c>
      <c r="P5" s="77" t="inlineStr">
        <is>
          <t>JUMLAH HAKIM</t>
        </is>
      </c>
      <c r="Q5" s="82" t="inlineStr">
        <is>
          <t>Semakan</t>
        </is>
      </c>
    </row>
    <row r="6" ht="26" customHeight="1">
      <c r="A6" s="83" t="n"/>
      <c r="B6" s="118" t="n"/>
      <c r="C6" s="119" t="n"/>
      <c r="D6" s="120" t="n"/>
      <c r="E6" s="121" t="n"/>
      <c r="F6" s="122" t="n"/>
      <c r="G6" s="123" t="n"/>
      <c r="H6" s="124" t="n"/>
      <c r="I6" s="125" t="n"/>
      <c r="J6" s="126" t="n"/>
      <c r="K6" s="127" t="n"/>
      <c r="L6" s="127" t="n"/>
      <c r="M6" s="128" t="n"/>
      <c r="N6" s="123">
        <f>IF(COUNT(B6:J6)=9,SUM(B6:J6),"")</f>
        <v/>
      </c>
      <c r="O6" s="127">
        <f>IF(N6="","",N(K6)+N(L6))</f>
        <v/>
      </c>
      <c r="P6" s="129">
        <f>IF(N6="","",MAX(0,N6-O6))</f>
        <v/>
      </c>
      <c r="Q6" s="130">
        <f>IF(KEPUTUSAN!$D6&lt;&gt;"Aktif","Dikecualikan",IF(COUNT(B6:J6)=0,"Belum ditampal",IF(A6&lt;&gt;KEPUTUSAN!$B6,"Negeri tidak sepadan",IF(OR(COUNT(B6:J6)&lt;9,K6="",L6=""),"Tidak lengkap",IF(OR(SUMPRODUCT((B6:J6&gt;$B$4:$J$4)*1)&gt;0,SUMPRODUCT((B6:J6&lt;0)*1)&gt;0,K6&gt;3,L6&gt;2,K6&lt;0,L6&lt;0),"Melebihi had",IF(SUMPRODUCT((B6:J6&lt;&gt;INT(B6:J6))*1)&gt;0,"Bukan nombor bulat",IF(N(M6)&lt;&gt;P6,"Jumlah rujukan tidak sepadan","LENGKAP")))))))</f>
        <v/>
      </c>
    </row>
    <row r="7" ht="26" customHeight="1">
      <c r="A7" s="83" t="n"/>
      <c r="B7" s="118" t="n"/>
      <c r="C7" s="119" t="n"/>
      <c r="D7" s="120" t="n"/>
      <c r="E7" s="121" t="n"/>
      <c r="F7" s="122" t="n"/>
      <c r="G7" s="123" t="n"/>
      <c r="H7" s="124" t="n"/>
      <c r="I7" s="125" t="n"/>
      <c r="J7" s="126" t="n"/>
      <c r="K7" s="127" t="n"/>
      <c r="L7" s="127" t="n"/>
      <c r="M7" s="128" t="n"/>
      <c r="N7" s="123">
        <f>IF(COUNT(B7:J7)=9,SUM(B7:J7),"")</f>
        <v/>
      </c>
      <c r="O7" s="127">
        <f>IF(N7="","",N(K7)+N(L7))</f>
        <v/>
      </c>
      <c r="P7" s="129">
        <f>IF(N7="","",MAX(0,N7-O7))</f>
        <v/>
      </c>
      <c r="Q7" s="130">
        <f>IF(KEPUTUSAN!$D7&lt;&gt;"Aktif","Dikecualikan",IF(COUNT(B7:J7)=0,"Belum ditampal",IF(A7&lt;&gt;KEPUTUSAN!$B7,"Negeri tidak sepadan",IF(OR(COUNT(B7:J7)&lt;9,K7="",L7=""),"Tidak lengkap",IF(OR(SUMPRODUCT((B7:J7&gt;$B$4:$J$4)*1)&gt;0,SUMPRODUCT((B7:J7&lt;0)*1)&gt;0,K7&gt;3,L7&gt;2,K7&lt;0,L7&lt;0),"Melebihi had",IF(SUMPRODUCT((B7:J7&lt;&gt;INT(B7:J7))*1)&gt;0,"Bukan nombor bulat",IF(N(M7)&lt;&gt;P7,"Jumlah rujukan tidak sepadan","LENGKAP")))))))</f>
        <v/>
      </c>
    </row>
    <row r="8" ht="26" customHeight="1">
      <c r="A8" s="83" t="n"/>
      <c r="B8" s="118" t="n"/>
      <c r="C8" s="119" t="n"/>
      <c r="D8" s="120" t="n"/>
      <c r="E8" s="121" t="n"/>
      <c r="F8" s="122" t="n"/>
      <c r="G8" s="123" t="n"/>
      <c r="H8" s="124" t="n"/>
      <c r="I8" s="125" t="n"/>
      <c r="J8" s="126" t="n"/>
      <c r="K8" s="127" t="n"/>
      <c r="L8" s="127" t="n"/>
      <c r="M8" s="128" t="n"/>
      <c r="N8" s="123">
        <f>IF(COUNT(B8:J8)=9,SUM(B8:J8),"")</f>
        <v/>
      </c>
      <c r="O8" s="127">
        <f>IF(N8="","",N(K8)+N(L8))</f>
        <v/>
      </c>
      <c r="P8" s="129">
        <f>IF(N8="","",MAX(0,N8-O8))</f>
        <v/>
      </c>
      <c r="Q8" s="130">
        <f>IF(KEPUTUSAN!$D8&lt;&gt;"Aktif","Dikecualikan",IF(COUNT(B8:J8)=0,"Belum ditampal",IF(A8&lt;&gt;KEPUTUSAN!$B8,"Negeri tidak sepadan",IF(OR(COUNT(B8:J8)&lt;9,K8="",L8=""),"Tidak lengkap",IF(OR(SUMPRODUCT((B8:J8&gt;$B$4:$J$4)*1)&gt;0,SUMPRODUCT((B8:J8&lt;0)*1)&gt;0,K8&gt;3,L8&gt;2,K8&lt;0,L8&lt;0),"Melebihi had",IF(SUMPRODUCT((B8:J8&lt;&gt;INT(B8:J8))*1)&gt;0,"Bukan nombor bulat",IF(N(M8)&lt;&gt;P8,"Jumlah rujukan tidak sepadan","LENGKAP")))))))</f>
        <v/>
      </c>
    </row>
    <row r="9" ht="26" customHeight="1">
      <c r="A9" s="83" t="n"/>
      <c r="B9" s="118" t="n"/>
      <c r="C9" s="119" t="n"/>
      <c r="D9" s="120" t="n"/>
      <c r="E9" s="121" t="n"/>
      <c r="F9" s="122" t="n"/>
      <c r="G9" s="123" t="n"/>
      <c r="H9" s="124" t="n"/>
      <c r="I9" s="125" t="n"/>
      <c r="J9" s="126" t="n"/>
      <c r="K9" s="127" t="n"/>
      <c r="L9" s="127" t="n"/>
      <c r="M9" s="128" t="n"/>
      <c r="N9" s="123">
        <f>IF(COUNT(B9:J9)=9,SUM(B9:J9),"")</f>
        <v/>
      </c>
      <c r="O9" s="127">
        <f>IF(N9="","",N(K9)+N(L9))</f>
        <v/>
      </c>
      <c r="P9" s="129">
        <f>IF(N9="","",MAX(0,N9-O9))</f>
        <v/>
      </c>
      <c r="Q9" s="130">
        <f>IF(KEPUTUSAN!$D9&lt;&gt;"Aktif","Dikecualikan",IF(COUNT(B9:J9)=0,"Belum ditampal",IF(A9&lt;&gt;KEPUTUSAN!$B9,"Negeri tidak sepadan",IF(OR(COUNT(B9:J9)&lt;9,K9="",L9=""),"Tidak lengkap",IF(OR(SUMPRODUCT((B9:J9&gt;$B$4:$J$4)*1)&gt;0,SUMPRODUCT((B9:J9&lt;0)*1)&gt;0,K9&gt;3,L9&gt;2,K9&lt;0,L9&lt;0),"Melebihi had",IF(SUMPRODUCT((B9:J9&lt;&gt;INT(B9:J9))*1)&gt;0,"Bukan nombor bulat",IF(N(M9)&lt;&gt;P9,"Jumlah rujukan tidak sepadan","LENGKAP")))))))</f>
        <v/>
      </c>
    </row>
    <row r="10" ht="26" customHeight="1">
      <c r="A10" s="83" t="n"/>
      <c r="B10" s="118" t="n"/>
      <c r="C10" s="119" t="n"/>
      <c r="D10" s="120" t="n"/>
      <c r="E10" s="121" t="n"/>
      <c r="F10" s="122" t="n"/>
      <c r="G10" s="123" t="n"/>
      <c r="H10" s="124" t="n"/>
      <c r="I10" s="125" t="n"/>
      <c r="J10" s="126" t="n"/>
      <c r="K10" s="127" t="n"/>
      <c r="L10" s="127" t="n"/>
      <c r="M10" s="128" t="n"/>
      <c r="N10" s="123">
        <f>IF(COUNT(B10:J10)=9,SUM(B10:J10),"")</f>
        <v/>
      </c>
      <c r="O10" s="127">
        <f>IF(N10="","",N(K10)+N(L10))</f>
        <v/>
      </c>
      <c r="P10" s="129">
        <f>IF(N10="","",MAX(0,N10-O10))</f>
        <v/>
      </c>
      <c r="Q10" s="130">
        <f>IF(KEPUTUSAN!$D10&lt;&gt;"Aktif","Dikecualikan",IF(COUNT(B10:J10)=0,"Belum ditampal",IF(A10&lt;&gt;KEPUTUSAN!$B10,"Negeri tidak sepadan",IF(OR(COUNT(B10:J10)&lt;9,K10="",L10=""),"Tidak lengkap",IF(OR(SUMPRODUCT((B10:J10&gt;$B$4:$J$4)*1)&gt;0,SUMPRODUCT((B10:J10&lt;0)*1)&gt;0,K10&gt;3,L10&gt;2,K10&lt;0,L10&lt;0),"Melebihi had",IF(SUMPRODUCT((B10:J10&lt;&gt;INT(B10:J10))*1)&gt;0,"Bukan nombor bulat",IF(N(M10)&lt;&gt;P10,"Jumlah rujukan tidak sepadan","LENGKAP")))))))</f>
        <v/>
      </c>
    </row>
    <row r="11" ht="26" customHeight="1">
      <c r="A11" s="83" t="n"/>
      <c r="B11" s="118" t="n"/>
      <c r="C11" s="119" t="n"/>
      <c r="D11" s="120" t="n"/>
      <c r="E11" s="121" t="n"/>
      <c r="F11" s="122" t="n"/>
      <c r="G11" s="123" t="n"/>
      <c r="H11" s="124" t="n"/>
      <c r="I11" s="125" t="n"/>
      <c r="J11" s="126" t="n"/>
      <c r="K11" s="127" t="n"/>
      <c r="L11" s="127" t="n"/>
      <c r="M11" s="128" t="n"/>
      <c r="N11" s="123">
        <f>IF(COUNT(B11:J11)=9,SUM(B11:J11),"")</f>
        <v/>
      </c>
      <c r="O11" s="127">
        <f>IF(N11="","",N(K11)+N(L11))</f>
        <v/>
      </c>
      <c r="P11" s="129">
        <f>IF(N11="","",MAX(0,N11-O11))</f>
        <v/>
      </c>
      <c r="Q11" s="130">
        <f>IF(KEPUTUSAN!$D11&lt;&gt;"Aktif","Dikecualikan",IF(COUNT(B11:J11)=0,"Belum ditampal",IF(A11&lt;&gt;KEPUTUSAN!$B11,"Negeri tidak sepadan",IF(OR(COUNT(B11:J11)&lt;9,K11="",L11=""),"Tidak lengkap",IF(OR(SUMPRODUCT((B11:J11&gt;$B$4:$J$4)*1)&gt;0,SUMPRODUCT((B11:J11&lt;0)*1)&gt;0,K11&gt;3,L11&gt;2,K11&lt;0,L11&lt;0),"Melebihi had",IF(SUMPRODUCT((B11:J11&lt;&gt;INT(B11:J11))*1)&gt;0,"Bukan nombor bulat",IF(N(M11)&lt;&gt;P11,"Jumlah rujukan tidak sepadan","LENGKAP")))))))</f>
        <v/>
      </c>
    </row>
    <row r="12" ht="26" customHeight="1">
      <c r="A12" s="83" t="n"/>
      <c r="B12" s="118" t="n"/>
      <c r="C12" s="119" t="n"/>
      <c r="D12" s="120" t="n"/>
      <c r="E12" s="121" t="n"/>
      <c r="F12" s="122" t="n"/>
      <c r="G12" s="123" t="n"/>
      <c r="H12" s="124" t="n"/>
      <c r="I12" s="125" t="n"/>
      <c r="J12" s="126" t="n"/>
      <c r="K12" s="127" t="n"/>
      <c r="L12" s="127" t="n"/>
      <c r="M12" s="128" t="n"/>
      <c r="N12" s="123">
        <f>IF(COUNT(B12:J12)=9,SUM(B12:J12),"")</f>
        <v/>
      </c>
      <c r="O12" s="127">
        <f>IF(N12="","",N(K12)+N(L12))</f>
        <v/>
      </c>
      <c r="P12" s="129">
        <f>IF(N12="","",MAX(0,N12-O12))</f>
        <v/>
      </c>
      <c r="Q12" s="130">
        <f>IF(KEPUTUSAN!$D12&lt;&gt;"Aktif","Dikecualikan",IF(COUNT(B12:J12)=0,"Belum ditampal",IF(A12&lt;&gt;KEPUTUSAN!$B12,"Negeri tidak sepadan",IF(OR(COUNT(B12:J12)&lt;9,K12="",L12=""),"Tidak lengkap",IF(OR(SUMPRODUCT((B12:J12&gt;$B$4:$J$4)*1)&gt;0,SUMPRODUCT((B12:J12&lt;0)*1)&gt;0,K12&gt;3,L12&gt;2,K12&lt;0,L12&lt;0),"Melebihi had",IF(SUMPRODUCT((B12:J12&lt;&gt;INT(B12:J12))*1)&gt;0,"Bukan nombor bulat",IF(N(M12)&lt;&gt;P12,"Jumlah rujukan tidak sepadan","LENGKAP")))))))</f>
        <v/>
      </c>
    </row>
    <row r="13" ht="26" customHeight="1">
      <c r="A13" s="83" t="n"/>
      <c r="B13" s="118" t="n"/>
      <c r="C13" s="119" t="n"/>
      <c r="D13" s="120" t="n"/>
      <c r="E13" s="121" t="n"/>
      <c r="F13" s="122" t="n"/>
      <c r="G13" s="123" t="n"/>
      <c r="H13" s="124" t="n"/>
      <c r="I13" s="125" t="n"/>
      <c r="J13" s="126" t="n"/>
      <c r="K13" s="127" t="n"/>
      <c r="L13" s="127" t="n"/>
      <c r="M13" s="128" t="n"/>
      <c r="N13" s="123">
        <f>IF(COUNT(B13:J13)=9,SUM(B13:J13),"")</f>
        <v/>
      </c>
      <c r="O13" s="127">
        <f>IF(N13="","",N(K13)+N(L13))</f>
        <v/>
      </c>
      <c r="P13" s="129">
        <f>IF(N13="","",MAX(0,N13-O13))</f>
        <v/>
      </c>
      <c r="Q13" s="130">
        <f>IF(KEPUTUSAN!$D13&lt;&gt;"Aktif","Dikecualikan",IF(COUNT(B13:J13)=0,"Belum ditampal",IF(A13&lt;&gt;KEPUTUSAN!$B13,"Negeri tidak sepadan",IF(OR(COUNT(B13:J13)&lt;9,K13="",L13=""),"Tidak lengkap",IF(OR(SUMPRODUCT((B13:J13&gt;$B$4:$J$4)*1)&gt;0,SUMPRODUCT((B13:J13&lt;0)*1)&gt;0,K13&gt;3,L13&gt;2,K13&lt;0,L13&lt;0),"Melebihi had",IF(SUMPRODUCT((B13:J13&lt;&gt;INT(B13:J13))*1)&gt;0,"Bukan nombor bulat",IF(N(M13)&lt;&gt;P13,"Jumlah rujukan tidak sepadan","LENGKAP")))))))</f>
        <v/>
      </c>
    </row>
    <row r="14" ht="26" customHeight="1">
      <c r="A14" s="83" t="n"/>
      <c r="B14" s="118" t="n"/>
      <c r="C14" s="119" t="n"/>
      <c r="D14" s="120" t="n"/>
      <c r="E14" s="121" t="n"/>
      <c r="F14" s="122" t="n"/>
      <c r="G14" s="123" t="n"/>
      <c r="H14" s="124" t="n"/>
      <c r="I14" s="125" t="n"/>
      <c r="J14" s="126" t="n"/>
      <c r="K14" s="127" t="n"/>
      <c r="L14" s="127" t="n"/>
      <c r="M14" s="128" t="n"/>
      <c r="N14" s="123">
        <f>IF(COUNT(B14:J14)=9,SUM(B14:J14),"")</f>
        <v/>
      </c>
      <c r="O14" s="127">
        <f>IF(N14="","",N(K14)+N(L14))</f>
        <v/>
      </c>
      <c r="P14" s="129">
        <f>IF(N14="","",MAX(0,N14-O14))</f>
        <v/>
      </c>
      <c r="Q14" s="130">
        <f>IF(KEPUTUSAN!$D14&lt;&gt;"Aktif","Dikecualikan",IF(COUNT(B14:J14)=0,"Belum ditampal",IF(A14&lt;&gt;KEPUTUSAN!$B14,"Negeri tidak sepadan",IF(OR(COUNT(B14:J14)&lt;9,K14="",L14=""),"Tidak lengkap",IF(OR(SUMPRODUCT((B14:J14&gt;$B$4:$J$4)*1)&gt;0,SUMPRODUCT((B14:J14&lt;0)*1)&gt;0,K14&gt;3,L14&gt;2,K14&lt;0,L14&lt;0),"Melebihi had",IF(SUMPRODUCT((B14:J14&lt;&gt;INT(B14:J14))*1)&gt;0,"Bukan nombor bulat",IF(N(M14)&lt;&gt;P14,"Jumlah rujukan tidak sepadan","LENGKAP")))))))</f>
        <v/>
      </c>
    </row>
    <row r="15" ht="26" customHeight="1">
      <c r="A15" s="83" t="n"/>
      <c r="B15" s="118" t="n"/>
      <c r="C15" s="119" t="n"/>
      <c r="D15" s="120" t="n"/>
      <c r="E15" s="121" t="n"/>
      <c r="F15" s="122" t="n"/>
      <c r="G15" s="123" t="n"/>
      <c r="H15" s="124" t="n"/>
      <c r="I15" s="125" t="n"/>
      <c r="J15" s="126" t="n"/>
      <c r="K15" s="127" t="n"/>
      <c r="L15" s="127" t="n"/>
      <c r="M15" s="128" t="n"/>
      <c r="N15" s="123">
        <f>IF(COUNT(B15:J15)=9,SUM(B15:J15),"")</f>
        <v/>
      </c>
      <c r="O15" s="127">
        <f>IF(N15="","",N(K15)+N(L15))</f>
        <v/>
      </c>
      <c r="P15" s="129">
        <f>IF(N15="","",MAX(0,N15-O15))</f>
        <v/>
      </c>
      <c r="Q15" s="130">
        <f>IF(KEPUTUSAN!$D15&lt;&gt;"Aktif","Dikecualikan",IF(COUNT(B15:J15)=0,"Belum ditampal",IF(A15&lt;&gt;KEPUTUSAN!$B15,"Negeri tidak sepadan",IF(OR(COUNT(B15:J15)&lt;9,K15="",L15=""),"Tidak lengkap",IF(OR(SUMPRODUCT((B15:J15&gt;$B$4:$J$4)*1)&gt;0,SUMPRODUCT((B15:J15&lt;0)*1)&gt;0,K15&gt;3,L15&gt;2,K15&lt;0,L15&lt;0),"Melebihi had",IF(SUMPRODUCT((B15:J15&lt;&gt;INT(B15:J15))*1)&gt;0,"Bukan nombor bulat",IF(N(M15)&lt;&gt;P15,"Jumlah rujukan tidak sepadan","LENGKAP")))))))</f>
        <v/>
      </c>
    </row>
    <row r="16" ht="26" customHeight="1">
      <c r="A16" s="83" t="n"/>
      <c r="B16" s="118" t="n"/>
      <c r="C16" s="119" t="n"/>
      <c r="D16" s="120" t="n"/>
      <c r="E16" s="121" t="n"/>
      <c r="F16" s="122" t="n"/>
      <c r="G16" s="123" t="n"/>
      <c r="H16" s="124" t="n"/>
      <c r="I16" s="125" t="n"/>
      <c r="J16" s="126" t="n"/>
      <c r="K16" s="127" t="n"/>
      <c r="L16" s="127" t="n"/>
      <c r="M16" s="128" t="n"/>
      <c r="N16" s="123">
        <f>IF(COUNT(B16:J16)=9,SUM(B16:J16),"")</f>
        <v/>
      </c>
      <c r="O16" s="127">
        <f>IF(N16="","",N(K16)+N(L16))</f>
        <v/>
      </c>
      <c r="P16" s="129">
        <f>IF(N16="","",MAX(0,N16-O16))</f>
        <v/>
      </c>
      <c r="Q16" s="130">
        <f>IF(KEPUTUSAN!$D16&lt;&gt;"Aktif","Dikecualikan",IF(COUNT(B16:J16)=0,"Belum ditampal",IF(A16&lt;&gt;KEPUTUSAN!$B16,"Negeri tidak sepadan",IF(OR(COUNT(B16:J16)&lt;9,K16="",L16=""),"Tidak lengkap",IF(OR(SUMPRODUCT((B16:J16&gt;$B$4:$J$4)*1)&gt;0,SUMPRODUCT((B16:J16&lt;0)*1)&gt;0,K16&gt;3,L16&gt;2,K16&lt;0,L16&lt;0),"Melebihi had",IF(SUMPRODUCT((B16:J16&lt;&gt;INT(B16:J16))*1)&gt;0,"Bukan nombor bulat",IF(N(M16)&lt;&gt;P16,"Jumlah rujukan tidak sepadan","LENGKAP")))))))</f>
        <v/>
      </c>
    </row>
    <row r="17" ht="26" customHeight="1">
      <c r="A17" s="83" t="n"/>
      <c r="B17" s="118" t="n"/>
      <c r="C17" s="119" t="n"/>
      <c r="D17" s="120" t="n"/>
      <c r="E17" s="121" t="n"/>
      <c r="F17" s="122" t="n"/>
      <c r="G17" s="123" t="n"/>
      <c r="H17" s="124" t="n"/>
      <c r="I17" s="125" t="n"/>
      <c r="J17" s="126" t="n"/>
      <c r="K17" s="127" t="n"/>
      <c r="L17" s="127" t="n"/>
      <c r="M17" s="128" t="n"/>
      <c r="N17" s="123">
        <f>IF(COUNT(B17:J17)=9,SUM(B17:J17),"")</f>
        <v/>
      </c>
      <c r="O17" s="127">
        <f>IF(N17="","",N(K17)+N(L17))</f>
        <v/>
      </c>
      <c r="P17" s="129">
        <f>IF(N17="","",MAX(0,N17-O17))</f>
        <v/>
      </c>
      <c r="Q17" s="130">
        <f>IF(KEPUTUSAN!$D17&lt;&gt;"Aktif","Dikecualikan",IF(COUNT(B17:J17)=0,"Belum ditampal",IF(A17&lt;&gt;KEPUTUSAN!$B17,"Negeri tidak sepadan",IF(OR(COUNT(B17:J17)&lt;9,K17="",L17=""),"Tidak lengkap",IF(OR(SUMPRODUCT((B17:J17&gt;$B$4:$J$4)*1)&gt;0,SUMPRODUCT((B17:J17&lt;0)*1)&gt;0,K17&gt;3,L17&gt;2,K17&lt;0,L17&lt;0),"Melebihi had",IF(SUMPRODUCT((B17:J17&lt;&gt;INT(B17:J17))*1)&gt;0,"Bukan nombor bulat",IF(N(M17)&lt;&gt;P17,"Jumlah rujukan tidak sepadan","LENGKAP")))))))</f>
        <v/>
      </c>
    </row>
    <row r="18" ht="26" customHeight="1">
      <c r="A18" s="83" t="n"/>
      <c r="B18" s="118" t="n"/>
      <c r="C18" s="119" t="n"/>
      <c r="D18" s="120" t="n"/>
      <c r="E18" s="121" t="n"/>
      <c r="F18" s="122" t="n"/>
      <c r="G18" s="123" t="n"/>
      <c r="H18" s="124" t="n"/>
      <c r="I18" s="125" t="n"/>
      <c r="J18" s="126" t="n"/>
      <c r="K18" s="127" t="n"/>
      <c r="L18" s="127" t="n"/>
      <c r="M18" s="128" t="n"/>
      <c r="N18" s="123">
        <f>IF(COUNT(B18:J18)=9,SUM(B18:J18),"")</f>
        <v/>
      </c>
      <c r="O18" s="127">
        <f>IF(N18="","",N(K18)+N(L18))</f>
        <v/>
      </c>
      <c r="P18" s="129">
        <f>IF(N18="","",MAX(0,N18-O18))</f>
        <v/>
      </c>
      <c r="Q18" s="130">
        <f>IF(KEPUTUSAN!$D18&lt;&gt;"Aktif","Dikecualikan",IF(COUNT(B18:J18)=0,"Belum ditampal",IF(A18&lt;&gt;KEPUTUSAN!$B18,"Negeri tidak sepadan",IF(OR(COUNT(B18:J18)&lt;9,K18="",L18=""),"Tidak lengkap",IF(OR(SUMPRODUCT((B18:J18&gt;$B$4:$J$4)*1)&gt;0,SUMPRODUCT((B18:J18&lt;0)*1)&gt;0,K18&gt;3,L18&gt;2,K18&lt;0,L18&lt;0),"Melebihi had",IF(SUMPRODUCT((B18:J18&lt;&gt;INT(B18:J18))*1)&gt;0,"Bukan nombor bulat",IF(N(M18)&lt;&gt;P18,"Jumlah rujukan tidak sepadan","LENGKAP")))))))</f>
        <v/>
      </c>
    </row>
    <row r="19" ht="26" customHeight="1">
      <c r="A19" s="83" t="n"/>
      <c r="B19" s="118" t="n"/>
      <c r="C19" s="119" t="n"/>
      <c r="D19" s="120" t="n"/>
      <c r="E19" s="121" t="n"/>
      <c r="F19" s="122" t="n"/>
      <c r="G19" s="123" t="n"/>
      <c r="H19" s="124" t="n"/>
      <c r="I19" s="125" t="n"/>
      <c r="J19" s="126" t="n"/>
      <c r="K19" s="127" t="n"/>
      <c r="L19" s="127" t="n"/>
      <c r="M19" s="128" t="n"/>
      <c r="N19" s="123">
        <f>IF(COUNT(B19:J19)=9,SUM(B19:J19),"")</f>
        <v/>
      </c>
      <c r="O19" s="127">
        <f>IF(N19="","",N(K19)+N(L19))</f>
        <v/>
      </c>
      <c r="P19" s="129">
        <f>IF(N19="","",MAX(0,N19-O19))</f>
        <v/>
      </c>
      <c r="Q19" s="130">
        <f>IF(KEPUTUSAN!$D19&lt;&gt;"Aktif","Dikecualikan",IF(COUNT(B19:J19)=0,"Belum ditampal",IF(A19&lt;&gt;KEPUTUSAN!$B19,"Negeri tidak sepadan",IF(OR(COUNT(B19:J19)&lt;9,K19="",L19=""),"Tidak lengkap",IF(OR(SUMPRODUCT((B19:J19&gt;$B$4:$J$4)*1)&gt;0,SUMPRODUCT((B19:J19&lt;0)*1)&gt;0,K19&gt;3,L19&gt;2,K19&lt;0,L19&lt;0),"Melebihi had",IF(SUMPRODUCT((B19:J19&lt;&gt;INT(B19:J19))*1)&gt;0,"Bukan nombor bulat",IF(N(M19)&lt;&gt;P19,"Jumlah rujukan tidak sepadan","LENGKAP")))))))</f>
        <v/>
      </c>
    </row>
  </sheetData>
  <mergeCells count="3">
    <mergeCell ref="A2:Q2"/>
    <mergeCell ref="A1:Q1"/>
    <mergeCell ref="A3:D3"/>
  </mergeCells>
  <conditionalFormatting sqref="Q6:Q19">
    <cfRule type="expression" priority="1" dxfId="3" stopIfTrue="0">
      <formula>$Q6="LENGKAP"</formula>
    </cfRule>
    <cfRule type="expression" priority="2" dxfId="5" stopIfTrue="0">
      <formula>AND($Q6&lt;&gt;"LENGKAP",$Q6&lt;&gt;"Belum ditampal",$Q6&lt;&gt;"Dikecualikan")</formula>
    </cfRule>
  </conditionalFormatting>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DB2777"/>
    <outlinePr summaryBelow="1" summaryRight="1"/>
    <pageSetUpPr fitToPage="1"/>
  </sheetPr>
  <dimension ref="A1:Q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4" customWidth="1" min="13" max="13"/>
    <col width="12" customWidth="1" min="14" max="14"/>
    <col width="11" customWidth="1" min="15" max="15"/>
    <col width="13" customWidth="1" min="16" max="16"/>
    <col width="26" customWidth="1" min="17" max="17"/>
  </cols>
  <sheetData>
    <row r="1" ht="32" customHeight="1">
      <c r="A1" s="1" t="inlineStr">
        <is>
          <t>MARKAH HAKIM H2  |  tampal daripada tab SALIN borang hakim berkenaan</t>
        </is>
      </c>
      <c r="B1" s="2" t="n"/>
      <c r="C1" s="2" t="n"/>
      <c r="D1" s="2" t="n"/>
      <c r="E1" s="2" t="n"/>
      <c r="F1" s="2" t="n"/>
      <c r="G1" s="2" t="n"/>
      <c r="H1" s="2" t="n"/>
      <c r="I1" s="2" t="n"/>
      <c r="J1" s="2" t="n"/>
      <c r="K1" s="2" t="n"/>
      <c r="L1" s="2" t="n"/>
      <c r="M1" s="2" t="n"/>
      <c r="N1" s="2" t="n"/>
      <c r="O1" s="2" t="n"/>
      <c r="P1" s="2" t="n"/>
      <c r="Q1" s="2" t="n"/>
    </row>
    <row r="2" ht="24" customHeight="1">
      <c r="A2" s="3" t="inlineStr">
        <is>
          <t>Tampal NILAI SAHAJA (Ctrl+Shift+V) dari A5:M18 borang hakim ke sel A6. Lajur N hingga Q dikira dan disemak automatik. Jangan taip di lajur biru.</t>
        </is>
      </c>
      <c r="B2" s="4" t="n"/>
      <c r="C2" s="4" t="n"/>
      <c r="D2" s="4" t="n"/>
      <c r="E2" s="4" t="n"/>
      <c r="F2" s="4" t="n"/>
      <c r="G2" s="4" t="n"/>
      <c r="H2" s="4" t="n"/>
      <c r="I2" s="4" t="n"/>
      <c r="J2" s="4" t="n"/>
      <c r="K2" s="4" t="n"/>
      <c r="L2" s="4" t="n"/>
      <c r="M2" s="4" t="n"/>
      <c r="N2" s="4" t="n"/>
      <c r="O2" s="4" t="n"/>
      <c r="P2" s="4" t="n"/>
      <c r="Q2" s="4" t="n"/>
    </row>
    <row r="3" ht="26" customHeight="1">
      <c r="A3" s="131" t="inlineStr">
        <is>
          <t>Hakim: H2  (Panel Hakim)</t>
        </is>
      </c>
      <c r="B3" s="43" t="n"/>
      <c r="C3" s="43" t="n"/>
      <c r="D3" s="43" t="n"/>
    </row>
    <row r="4" ht="26" customHeight="1">
      <c r="A4" s="106" t="inlineStr">
        <is>
          <t>Maksimum</t>
        </is>
      </c>
      <c r="B4" s="107" t="n">
        <v>20</v>
      </c>
      <c r="C4" s="108" t="n">
        <v>15</v>
      </c>
      <c r="D4" s="109" t="n">
        <v>15</v>
      </c>
      <c r="E4" s="110" t="n">
        <v>10</v>
      </c>
      <c r="F4" s="111" t="n">
        <v>10</v>
      </c>
      <c r="G4" s="94" t="n">
        <v>10</v>
      </c>
      <c r="H4" s="97" t="n">
        <v>5</v>
      </c>
      <c r="I4" s="112" t="n">
        <v>10</v>
      </c>
      <c r="J4" s="113" t="n">
        <v>5</v>
      </c>
      <c r="K4" s="114" t="n">
        <v>3</v>
      </c>
      <c r="L4" s="114" t="n">
        <v>2</v>
      </c>
      <c r="M4" s="115" t="n"/>
      <c r="N4" s="115" t="n"/>
      <c r="O4" s="115" t="n"/>
      <c r="P4" s="115" t="n"/>
      <c r="Q4" s="115" t="n"/>
    </row>
    <row r="5" ht="48" customHeight="1">
      <c r="A5" s="50" t="inlineStr">
        <is>
          <t>Negeri</t>
        </is>
      </c>
      <c r="B5" s="75" t="inlineStr">
        <is>
          <t>Kreativiti</t>
        </is>
      </c>
      <c r="C5" s="74" t="inlineStr">
        <is>
          <t>Kandungan</t>
        </is>
      </c>
      <c r="D5" s="76" t="inlineStr">
        <is>
          <t>Canva</t>
        </is>
      </c>
      <c r="E5" s="77" t="inlineStr">
        <is>
          <t>AI</t>
        </is>
      </c>
      <c r="F5" s="78" t="inlineStr">
        <is>
          <t>CapCut</t>
        </is>
      </c>
      <c r="G5" s="81" t="inlineStr">
        <is>
          <t>Audio</t>
        </is>
      </c>
      <c r="H5" s="79" t="inlineStr">
        <is>
          <t>Etika</t>
        </is>
      </c>
      <c r="I5" s="116" t="inlineStr">
        <is>
          <t>Persembahan</t>
        </is>
      </c>
      <c r="J5" s="117" t="inlineStr">
        <is>
          <t>AURORA</t>
        </is>
      </c>
      <c r="K5" s="80" t="inlineStr">
        <is>
          <t>Penalti aset</t>
        </is>
      </c>
      <c r="L5" s="80" t="inlineStr">
        <is>
          <t>Penalti budi</t>
        </is>
      </c>
      <c r="M5" s="82" t="inlineStr">
        <is>
          <t>Jumlah akhir (rujukan hakim)</t>
        </is>
      </c>
      <c r="N5" s="81" t="inlineStr">
        <is>
          <t>Jumlah komponen</t>
        </is>
      </c>
      <c r="O5" s="80" t="inlineStr">
        <is>
          <t>Penalti</t>
        </is>
      </c>
      <c r="P5" s="77" t="inlineStr">
        <is>
          <t>JUMLAH HAKIM</t>
        </is>
      </c>
      <c r="Q5" s="82" t="inlineStr">
        <is>
          <t>Semakan</t>
        </is>
      </c>
    </row>
    <row r="6" ht="26" customHeight="1">
      <c r="A6" s="83" t="n"/>
      <c r="B6" s="118" t="n"/>
      <c r="C6" s="119" t="n"/>
      <c r="D6" s="120" t="n"/>
      <c r="E6" s="121" t="n"/>
      <c r="F6" s="122" t="n"/>
      <c r="G6" s="123" t="n"/>
      <c r="H6" s="124" t="n"/>
      <c r="I6" s="125" t="n"/>
      <c r="J6" s="126" t="n"/>
      <c r="K6" s="127" t="n"/>
      <c r="L6" s="127" t="n"/>
      <c r="M6" s="128" t="n"/>
      <c r="N6" s="123">
        <f>IF(COUNT(B6:J6)=9,SUM(B6:J6),"")</f>
        <v/>
      </c>
      <c r="O6" s="127">
        <f>IF(N6="","",N(K6)+N(L6))</f>
        <v/>
      </c>
      <c r="P6" s="129">
        <f>IF(N6="","",MAX(0,N6-O6))</f>
        <v/>
      </c>
      <c r="Q6" s="130">
        <f>IF(KEPUTUSAN!$D6&lt;&gt;"Aktif","Dikecualikan",IF(COUNT(B6:J6)=0,"Belum ditampal",IF(A6&lt;&gt;KEPUTUSAN!$B6,"Negeri tidak sepadan",IF(OR(COUNT(B6:J6)&lt;9,K6="",L6=""),"Tidak lengkap",IF(OR(SUMPRODUCT((B6:J6&gt;$B$4:$J$4)*1)&gt;0,SUMPRODUCT((B6:J6&lt;0)*1)&gt;0,K6&gt;3,L6&gt;2,K6&lt;0,L6&lt;0),"Melebihi had",IF(SUMPRODUCT((B6:J6&lt;&gt;INT(B6:J6))*1)&gt;0,"Bukan nombor bulat",IF(N(M6)&lt;&gt;P6,"Jumlah rujukan tidak sepadan","LENGKAP")))))))</f>
        <v/>
      </c>
    </row>
    <row r="7" ht="26" customHeight="1">
      <c r="A7" s="83" t="n"/>
      <c r="B7" s="118" t="n"/>
      <c r="C7" s="119" t="n"/>
      <c r="D7" s="120" t="n"/>
      <c r="E7" s="121" t="n"/>
      <c r="F7" s="122" t="n"/>
      <c r="G7" s="123" t="n"/>
      <c r="H7" s="124" t="n"/>
      <c r="I7" s="125" t="n"/>
      <c r="J7" s="126" t="n"/>
      <c r="K7" s="127" t="n"/>
      <c r="L7" s="127" t="n"/>
      <c r="M7" s="128" t="n"/>
      <c r="N7" s="123">
        <f>IF(COUNT(B7:J7)=9,SUM(B7:J7),"")</f>
        <v/>
      </c>
      <c r="O7" s="127">
        <f>IF(N7="","",N(K7)+N(L7))</f>
        <v/>
      </c>
      <c r="P7" s="129">
        <f>IF(N7="","",MAX(0,N7-O7))</f>
        <v/>
      </c>
      <c r="Q7" s="130">
        <f>IF(KEPUTUSAN!$D7&lt;&gt;"Aktif","Dikecualikan",IF(COUNT(B7:J7)=0,"Belum ditampal",IF(A7&lt;&gt;KEPUTUSAN!$B7,"Negeri tidak sepadan",IF(OR(COUNT(B7:J7)&lt;9,K7="",L7=""),"Tidak lengkap",IF(OR(SUMPRODUCT((B7:J7&gt;$B$4:$J$4)*1)&gt;0,SUMPRODUCT((B7:J7&lt;0)*1)&gt;0,K7&gt;3,L7&gt;2,K7&lt;0,L7&lt;0),"Melebihi had",IF(SUMPRODUCT((B7:J7&lt;&gt;INT(B7:J7))*1)&gt;0,"Bukan nombor bulat",IF(N(M7)&lt;&gt;P7,"Jumlah rujukan tidak sepadan","LENGKAP")))))))</f>
        <v/>
      </c>
    </row>
    <row r="8" ht="26" customHeight="1">
      <c r="A8" s="83" t="n"/>
      <c r="B8" s="118" t="n"/>
      <c r="C8" s="119" t="n"/>
      <c r="D8" s="120" t="n"/>
      <c r="E8" s="121" t="n"/>
      <c r="F8" s="122" t="n"/>
      <c r="G8" s="123" t="n"/>
      <c r="H8" s="124" t="n"/>
      <c r="I8" s="125" t="n"/>
      <c r="J8" s="126" t="n"/>
      <c r="K8" s="127" t="n"/>
      <c r="L8" s="127" t="n"/>
      <c r="M8" s="128" t="n"/>
      <c r="N8" s="123">
        <f>IF(COUNT(B8:J8)=9,SUM(B8:J8),"")</f>
        <v/>
      </c>
      <c r="O8" s="127">
        <f>IF(N8="","",N(K8)+N(L8))</f>
        <v/>
      </c>
      <c r="P8" s="129">
        <f>IF(N8="","",MAX(0,N8-O8))</f>
        <v/>
      </c>
      <c r="Q8" s="130">
        <f>IF(KEPUTUSAN!$D8&lt;&gt;"Aktif","Dikecualikan",IF(COUNT(B8:J8)=0,"Belum ditampal",IF(A8&lt;&gt;KEPUTUSAN!$B8,"Negeri tidak sepadan",IF(OR(COUNT(B8:J8)&lt;9,K8="",L8=""),"Tidak lengkap",IF(OR(SUMPRODUCT((B8:J8&gt;$B$4:$J$4)*1)&gt;0,SUMPRODUCT((B8:J8&lt;0)*1)&gt;0,K8&gt;3,L8&gt;2,K8&lt;0,L8&lt;0),"Melebihi had",IF(SUMPRODUCT((B8:J8&lt;&gt;INT(B8:J8))*1)&gt;0,"Bukan nombor bulat",IF(N(M8)&lt;&gt;P8,"Jumlah rujukan tidak sepadan","LENGKAP")))))))</f>
        <v/>
      </c>
    </row>
    <row r="9" ht="26" customHeight="1">
      <c r="A9" s="83" t="n"/>
      <c r="B9" s="118" t="n"/>
      <c r="C9" s="119" t="n"/>
      <c r="D9" s="120" t="n"/>
      <c r="E9" s="121" t="n"/>
      <c r="F9" s="122" t="n"/>
      <c r="G9" s="123" t="n"/>
      <c r="H9" s="124" t="n"/>
      <c r="I9" s="125" t="n"/>
      <c r="J9" s="126" t="n"/>
      <c r="K9" s="127" t="n"/>
      <c r="L9" s="127" t="n"/>
      <c r="M9" s="128" t="n"/>
      <c r="N9" s="123">
        <f>IF(COUNT(B9:J9)=9,SUM(B9:J9),"")</f>
        <v/>
      </c>
      <c r="O9" s="127">
        <f>IF(N9="","",N(K9)+N(L9))</f>
        <v/>
      </c>
      <c r="P9" s="129">
        <f>IF(N9="","",MAX(0,N9-O9))</f>
        <v/>
      </c>
      <c r="Q9" s="130">
        <f>IF(KEPUTUSAN!$D9&lt;&gt;"Aktif","Dikecualikan",IF(COUNT(B9:J9)=0,"Belum ditampal",IF(A9&lt;&gt;KEPUTUSAN!$B9,"Negeri tidak sepadan",IF(OR(COUNT(B9:J9)&lt;9,K9="",L9=""),"Tidak lengkap",IF(OR(SUMPRODUCT((B9:J9&gt;$B$4:$J$4)*1)&gt;0,SUMPRODUCT((B9:J9&lt;0)*1)&gt;0,K9&gt;3,L9&gt;2,K9&lt;0,L9&lt;0),"Melebihi had",IF(SUMPRODUCT((B9:J9&lt;&gt;INT(B9:J9))*1)&gt;0,"Bukan nombor bulat",IF(N(M9)&lt;&gt;P9,"Jumlah rujukan tidak sepadan","LENGKAP")))))))</f>
        <v/>
      </c>
    </row>
    <row r="10" ht="26" customHeight="1">
      <c r="A10" s="83" t="n"/>
      <c r="B10" s="118" t="n"/>
      <c r="C10" s="119" t="n"/>
      <c r="D10" s="120" t="n"/>
      <c r="E10" s="121" t="n"/>
      <c r="F10" s="122" t="n"/>
      <c r="G10" s="123" t="n"/>
      <c r="H10" s="124" t="n"/>
      <c r="I10" s="125" t="n"/>
      <c r="J10" s="126" t="n"/>
      <c r="K10" s="127" t="n"/>
      <c r="L10" s="127" t="n"/>
      <c r="M10" s="128" t="n"/>
      <c r="N10" s="123">
        <f>IF(COUNT(B10:J10)=9,SUM(B10:J10),"")</f>
        <v/>
      </c>
      <c r="O10" s="127">
        <f>IF(N10="","",N(K10)+N(L10))</f>
        <v/>
      </c>
      <c r="P10" s="129">
        <f>IF(N10="","",MAX(0,N10-O10))</f>
        <v/>
      </c>
      <c r="Q10" s="130">
        <f>IF(KEPUTUSAN!$D10&lt;&gt;"Aktif","Dikecualikan",IF(COUNT(B10:J10)=0,"Belum ditampal",IF(A10&lt;&gt;KEPUTUSAN!$B10,"Negeri tidak sepadan",IF(OR(COUNT(B10:J10)&lt;9,K10="",L10=""),"Tidak lengkap",IF(OR(SUMPRODUCT((B10:J10&gt;$B$4:$J$4)*1)&gt;0,SUMPRODUCT((B10:J10&lt;0)*1)&gt;0,K10&gt;3,L10&gt;2,K10&lt;0,L10&lt;0),"Melebihi had",IF(SUMPRODUCT((B10:J10&lt;&gt;INT(B10:J10))*1)&gt;0,"Bukan nombor bulat",IF(N(M10)&lt;&gt;P10,"Jumlah rujukan tidak sepadan","LENGKAP")))))))</f>
        <v/>
      </c>
    </row>
    <row r="11" ht="26" customHeight="1">
      <c r="A11" s="83" t="n"/>
      <c r="B11" s="118" t="n"/>
      <c r="C11" s="119" t="n"/>
      <c r="D11" s="120" t="n"/>
      <c r="E11" s="121" t="n"/>
      <c r="F11" s="122" t="n"/>
      <c r="G11" s="123" t="n"/>
      <c r="H11" s="124" t="n"/>
      <c r="I11" s="125" t="n"/>
      <c r="J11" s="126" t="n"/>
      <c r="K11" s="127" t="n"/>
      <c r="L11" s="127" t="n"/>
      <c r="M11" s="128" t="n"/>
      <c r="N11" s="123">
        <f>IF(COUNT(B11:J11)=9,SUM(B11:J11),"")</f>
        <v/>
      </c>
      <c r="O11" s="127">
        <f>IF(N11="","",N(K11)+N(L11))</f>
        <v/>
      </c>
      <c r="P11" s="129">
        <f>IF(N11="","",MAX(0,N11-O11))</f>
        <v/>
      </c>
      <c r="Q11" s="130">
        <f>IF(KEPUTUSAN!$D11&lt;&gt;"Aktif","Dikecualikan",IF(COUNT(B11:J11)=0,"Belum ditampal",IF(A11&lt;&gt;KEPUTUSAN!$B11,"Negeri tidak sepadan",IF(OR(COUNT(B11:J11)&lt;9,K11="",L11=""),"Tidak lengkap",IF(OR(SUMPRODUCT((B11:J11&gt;$B$4:$J$4)*1)&gt;0,SUMPRODUCT((B11:J11&lt;0)*1)&gt;0,K11&gt;3,L11&gt;2,K11&lt;0,L11&lt;0),"Melebihi had",IF(SUMPRODUCT((B11:J11&lt;&gt;INT(B11:J11))*1)&gt;0,"Bukan nombor bulat",IF(N(M11)&lt;&gt;P11,"Jumlah rujukan tidak sepadan","LENGKAP")))))))</f>
        <v/>
      </c>
    </row>
    <row r="12" ht="26" customHeight="1">
      <c r="A12" s="83" t="n"/>
      <c r="B12" s="118" t="n"/>
      <c r="C12" s="119" t="n"/>
      <c r="D12" s="120" t="n"/>
      <c r="E12" s="121" t="n"/>
      <c r="F12" s="122" t="n"/>
      <c r="G12" s="123" t="n"/>
      <c r="H12" s="124" t="n"/>
      <c r="I12" s="125" t="n"/>
      <c r="J12" s="126" t="n"/>
      <c r="K12" s="127" t="n"/>
      <c r="L12" s="127" t="n"/>
      <c r="M12" s="128" t="n"/>
      <c r="N12" s="123">
        <f>IF(COUNT(B12:J12)=9,SUM(B12:J12),"")</f>
        <v/>
      </c>
      <c r="O12" s="127">
        <f>IF(N12="","",N(K12)+N(L12))</f>
        <v/>
      </c>
      <c r="P12" s="129">
        <f>IF(N12="","",MAX(0,N12-O12))</f>
        <v/>
      </c>
      <c r="Q12" s="130">
        <f>IF(KEPUTUSAN!$D12&lt;&gt;"Aktif","Dikecualikan",IF(COUNT(B12:J12)=0,"Belum ditampal",IF(A12&lt;&gt;KEPUTUSAN!$B12,"Negeri tidak sepadan",IF(OR(COUNT(B12:J12)&lt;9,K12="",L12=""),"Tidak lengkap",IF(OR(SUMPRODUCT((B12:J12&gt;$B$4:$J$4)*1)&gt;0,SUMPRODUCT((B12:J12&lt;0)*1)&gt;0,K12&gt;3,L12&gt;2,K12&lt;0,L12&lt;0),"Melebihi had",IF(SUMPRODUCT((B12:J12&lt;&gt;INT(B12:J12))*1)&gt;0,"Bukan nombor bulat",IF(N(M12)&lt;&gt;P12,"Jumlah rujukan tidak sepadan","LENGKAP")))))))</f>
        <v/>
      </c>
    </row>
    <row r="13" ht="26" customHeight="1">
      <c r="A13" s="83" t="n"/>
      <c r="B13" s="118" t="n"/>
      <c r="C13" s="119" t="n"/>
      <c r="D13" s="120" t="n"/>
      <c r="E13" s="121" t="n"/>
      <c r="F13" s="122" t="n"/>
      <c r="G13" s="123" t="n"/>
      <c r="H13" s="124" t="n"/>
      <c r="I13" s="125" t="n"/>
      <c r="J13" s="126" t="n"/>
      <c r="K13" s="127" t="n"/>
      <c r="L13" s="127" t="n"/>
      <c r="M13" s="128" t="n"/>
      <c r="N13" s="123">
        <f>IF(COUNT(B13:J13)=9,SUM(B13:J13),"")</f>
        <v/>
      </c>
      <c r="O13" s="127">
        <f>IF(N13="","",N(K13)+N(L13))</f>
        <v/>
      </c>
      <c r="P13" s="129">
        <f>IF(N13="","",MAX(0,N13-O13))</f>
        <v/>
      </c>
      <c r="Q13" s="130">
        <f>IF(KEPUTUSAN!$D13&lt;&gt;"Aktif","Dikecualikan",IF(COUNT(B13:J13)=0,"Belum ditampal",IF(A13&lt;&gt;KEPUTUSAN!$B13,"Negeri tidak sepadan",IF(OR(COUNT(B13:J13)&lt;9,K13="",L13=""),"Tidak lengkap",IF(OR(SUMPRODUCT((B13:J13&gt;$B$4:$J$4)*1)&gt;0,SUMPRODUCT((B13:J13&lt;0)*1)&gt;0,K13&gt;3,L13&gt;2,K13&lt;0,L13&lt;0),"Melebihi had",IF(SUMPRODUCT((B13:J13&lt;&gt;INT(B13:J13))*1)&gt;0,"Bukan nombor bulat",IF(N(M13)&lt;&gt;P13,"Jumlah rujukan tidak sepadan","LENGKAP")))))))</f>
        <v/>
      </c>
    </row>
    <row r="14" ht="26" customHeight="1">
      <c r="A14" s="83" t="n"/>
      <c r="B14" s="118" t="n"/>
      <c r="C14" s="119" t="n"/>
      <c r="D14" s="120" t="n"/>
      <c r="E14" s="121" t="n"/>
      <c r="F14" s="122" t="n"/>
      <c r="G14" s="123" t="n"/>
      <c r="H14" s="124" t="n"/>
      <c r="I14" s="125" t="n"/>
      <c r="J14" s="126" t="n"/>
      <c r="K14" s="127" t="n"/>
      <c r="L14" s="127" t="n"/>
      <c r="M14" s="128" t="n"/>
      <c r="N14" s="123">
        <f>IF(COUNT(B14:J14)=9,SUM(B14:J14),"")</f>
        <v/>
      </c>
      <c r="O14" s="127">
        <f>IF(N14="","",N(K14)+N(L14))</f>
        <v/>
      </c>
      <c r="P14" s="129">
        <f>IF(N14="","",MAX(0,N14-O14))</f>
        <v/>
      </c>
      <c r="Q14" s="130">
        <f>IF(KEPUTUSAN!$D14&lt;&gt;"Aktif","Dikecualikan",IF(COUNT(B14:J14)=0,"Belum ditampal",IF(A14&lt;&gt;KEPUTUSAN!$B14,"Negeri tidak sepadan",IF(OR(COUNT(B14:J14)&lt;9,K14="",L14=""),"Tidak lengkap",IF(OR(SUMPRODUCT((B14:J14&gt;$B$4:$J$4)*1)&gt;0,SUMPRODUCT((B14:J14&lt;0)*1)&gt;0,K14&gt;3,L14&gt;2,K14&lt;0,L14&lt;0),"Melebihi had",IF(SUMPRODUCT((B14:J14&lt;&gt;INT(B14:J14))*1)&gt;0,"Bukan nombor bulat",IF(N(M14)&lt;&gt;P14,"Jumlah rujukan tidak sepadan","LENGKAP")))))))</f>
        <v/>
      </c>
    </row>
    <row r="15" ht="26" customHeight="1">
      <c r="A15" s="83" t="n"/>
      <c r="B15" s="118" t="n"/>
      <c r="C15" s="119" t="n"/>
      <c r="D15" s="120" t="n"/>
      <c r="E15" s="121" t="n"/>
      <c r="F15" s="122" t="n"/>
      <c r="G15" s="123" t="n"/>
      <c r="H15" s="124" t="n"/>
      <c r="I15" s="125" t="n"/>
      <c r="J15" s="126" t="n"/>
      <c r="K15" s="127" t="n"/>
      <c r="L15" s="127" t="n"/>
      <c r="M15" s="128" t="n"/>
      <c r="N15" s="123">
        <f>IF(COUNT(B15:J15)=9,SUM(B15:J15),"")</f>
        <v/>
      </c>
      <c r="O15" s="127">
        <f>IF(N15="","",N(K15)+N(L15))</f>
        <v/>
      </c>
      <c r="P15" s="129">
        <f>IF(N15="","",MAX(0,N15-O15))</f>
        <v/>
      </c>
      <c r="Q15" s="130">
        <f>IF(KEPUTUSAN!$D15&lt;&gt;"Aktif","Dikecualikan",IF(COUNT(B15:J15)=0,"Belum ditampal",IF(A15&lt;&gt;KEPUTUSAN!$B15,"Negeri tidak sepadan",IF(OR(COUNT(B15:J15)&lt;9,K15="",L15=""),"Tidak lengkap",IF(OR(SUMPRODUCT((B15:J15&gt;$B$4:$J$4)*1)&gt;0,SUMPRODUCT((B15:J15&lt;0)*1)&gt;0,K15&gt;3,L15&gt;2,K15&lt;0,L15&lt;0),"Melebihi had",IF(SUMPRODUCT((B15:J15&lt;&gt;INT(B15:J15))*1)&gt;0,"Bukan nombor bulat",IF(N(M15)&lt;&gt;P15,"Jumlah rujukan tidak sepadan","LENGKAP")))))))</f>
        <v/>
      </c>
    </row>
    <row r="16" ht="26" customHeight="1">
      <c r="A16" s="83" t="n"/>
      <c r="B16" s="118" t="n"/>
      <c r="C16" s="119" t="n"/>
      <c r="D16" s="120" t="n"/>
      <c r="E16" s="121" t="n"/>
      <c r="F16" s="122" t="n"/>
      <c r="G16" s="123" t="n"/>
      <c r="H16" s="124" t="n"/>
      <c r="I16" s="125" t="n"/>
      <c r="J16" s="126" t="n"/>
      <c r="K16" s="127" t="n"/>
      <c r="L16" s="127" t="n"/>
      <c r="M16" s="128" t="n"/>
      <c r="N16" s="123">
        <f>IF(COUNT(B16:J16)=9,SUM(B16:J16),"")</f>
        <v/>
      </c>
      <c r="O16" s="127">
        <f>IF(N16="","",N(K16)+N(L16))</f>
        <v/>
      </c>
      <c r="P16" s="129">
        <f>IF(N16="","",MAX(0,N16-O16))</f>
        <v/>
      </c>
      <c r="Q16" s="130">
        <f>IF(KEPUTUSAN!$D16&lt;&gt;"Aktif","Dikecualikan",IF(COUNT(B16:J16)=0,"Belum ditampal",IF(A16&lt;&gt;KEPUTUSAN!$B16,"Negeri tidak sepadan",IF(OR(COUNT(B16:J16)&lt;9,K16="",L16=""),"Tidak lengkap",IF(OR(SUMPRODUCT((B16:J16&gt;$B$4:$J$4)*1)&gt;0,SUMPRODUCT((B16:J16&lt;0)*1)&gt;0,K16&gt;3,L16&gt;2,K16&lt;0,L16&lt;0),"Melebihi had",IF(SUMPRODUCT((B16:J16&lt;&gt;INT(B16:J16))*1)&gt;0,"Bukan nombor bulat",IF(N(M16)&lt;&gt;P16,"Jumlah rujukan tidak sepadan","LENGKAP")))))))</f>
        <v/>
      </c>
    </row>
    <row r="17" ht="26" customHeight="1">
      <c r="A17" s="83" t="n"/>
      <c r="B17" s="118" t="n"/>
      <c r="C17" s="119" t="n"/>
      <c r="D17" s="120" t="n"/>
      <c r="E17" s="121" t="n"/>
      <c r="F17" s="122" t="n"/>
      <c r="G17" s="123" t="n"/>
      <c r="H17" s="124" t="n"/>
      <c r="I17" s="125" t="n"/>
      <c r="J17" s="126" t="n"/>
      <c r="K17" s="127" t="n"/>
      <c r="L17" s="127" t="n"/>
      <c r="M17" s="128" t="n"/>
      <c r="N17" s="123">
        <f>IF(COUNT(B17:J17)=9,SUM(B17:J17),"")</f>
        <v/>
      </c>
      <c r="O17" s="127">
        <f>IF(N17="","",N(K17)+N(L17))</f>
        <v/>
      </c>
      <c r="P17" s="129">
        <f>IF(N17="","",MAX(0,N17-O17))</f>
        <v/>
      </c>
      <c r="Q17" s="130">
        <f>IF(KEPUTUSAN!$D17&lt;&gt;"Aktif","Dikecualikan",IF(COUNT(B17:J17)=0,"Belum ditampal",IF(A17&lt;&gt;KEPUTUSAN!$B17,"Negeri tidak sepadan",IF(OR(COUNT(B17:J17)&lt;9,K17="",L17=""),"Tidak lengkap",IF(OR(SUMPRODUCT((B17:J17&gt;$B$4:$J$4)*1)&gt;0,SUMPRODUCT((B17:J17&lt;0)*1)&gt;0,K17&gt;3,L17&gt;2,K17&lt;0,L17&lt;0),"Melebihi had",IF(SUMPRODUCT((B17:J17&lt;&gt;INT(B17:J17))*1)&gt;0,"Bukan nombor bulat",IF(N(M17)&lt;&gt;P17,"Jumlah rujukan tidak sepadan","LENGKAP")))))))</f>
        <v/>
      </c>
    </row>
    <row r="18" ht="26" customHeight="1">
      <c r="A18" s="83" t="n"/>
      <c r="B18" s="118" t="n"/>
      <c r="C18" s="119" t="n"/>
      <c r="D18" s="120" t="n"/>
      <c r="E18" s="121" t="n"/>
      <c r="F18" s="122" t="n"/>
      <c r="G18" s="123" t="n"/>
      <c r="H18" s="124" t="n"/>
      <c r="I18" s="125" t="n"/>
      <c r="J18" s="126" t="n"/>
      <c r="K18" s="127" t="n"/>
      <c r="L18" s="127" t="n"/>
      <c r="M18" s="128" t="n"/>
      <c r="N18" s="123">
        <f>IF(COUNT(B18:J18)=9,SUM(B18:J18),"")</f>
        <v/>
      </c>
      <c r="O18" s="127">
        <f>IF(N18="","",N(K18)+N(L18))</f>
        <v/>
      </c>
      <c r="P18" s="129">
        <f>IF(N18="","",MAX(0,N18-O18))</f>
        <v/>
      </c>
      <c r="Q18" s="130">
        <f>IF(KEPUTUSAN!$D18&lt;&gt;"Aktif","Dikecualikan",IF(COUNT(B18:J18)=0,"Belum ditampal",IF(A18&lt;&gt;KEPUTUSAN!$B18,"Negeri tidak sepadan",IF(OR(COUNT(B18:J18)&lt;9,K18="",L18=""),"Tidak lengkap",IF(OR(SUMPRODUCT((B18:J18&gt;$B$4:$J$4)*1)&gt;0,SUMPRODUCT((B18:J18&lt;0)*1)&gt;0,K18&gt;3,L18&gt;2,K18&lt;0,L18&lt;0),"Melebihi had",IF(SUMPRODUCT((B18:J18&lt;&gt;INT(B18:J18))*1)&gt;0,"Bukan nombor bulat",IF(N(M18)&lt;&gt;P18,"Jumlah rujukan tidak sepadan","LENGKAP")))))))</f>
        <v/>
      </c>
    </row>
    <row r="19" ht="26" customHeight="1">
      <c r="A19" s="83" t="n"/>
      <c r="B19" s="118" t="n"/>
      <c r="C19" s="119" t="n"/>
      <c r="D19" s="120" t="n"/>
      <c r="E19" s="121" t="n"/>
      <c r="F19" s="122" t="n"/>
      <c r="G19" s="123" t="n"/>
      <c r="H19" s="124" t="n"/>
      <c r="I19" s="125" t="n"/>
      <c r="J19" s="126" t="n"/>
      <c r="K19" s="127" t="n"/>
      <c r="L19" s="127" t="n"/>
      <c r="M19" s="128" t="n"/>
      <c r="N19" s="123">
        <f>IF(COUNT(B19:J19)=9,SUM(B19:J19),"")</f>
        <v/>
      </c>
      <c r="O19" s="127">
        <f>IF(N19="","",N(K19)+N(L19))</f>
        <v/>
      </c>
      <c r="P19" s="129">
        <f>IF(N19="","",MAX(0,N19-O19))</f>
        <v/>
      </c>
      <c r="Q19" s="130">
        <f>IF(KEPUTUSAN!$D19&lt;&gt;"Aktif","Dikecualikan",IF(COUNT(B19:J19)=0,"Belum ditampal",IF(A19&lt;&gt;KEPUTUSAN!$B19,"Negeri tidak sepadan",IF(OR(COUNT(B19:J19)&lt;9,K19="",L19=""),"Tidak lengkap",IF(OR(SUMPRODUCT((B19:J19&gt;$B$4:$J$4)*1)&gt;0,SUMPRODUCT((B19:J19&lt;0)*1)&gt;0,K19&gt;3,L19&gt;2,K19&lt;0,L19&lt;0),"Melebihi had",IF(SUMPRODUCT((B19:J19&lt;&gt;INT(B19:J19))*1)&gt;0,"Bukan nombor bulat",IF(N(M19)&lt;&gt;P19,"Jumlah rujukan tidak sepadan","LENGKAP")))))))</f>
        <v/>
      </c>
    </row>
  </sheetData>
  <mergeCells count="3">
    <mergeCell ref="A2:Q2"/>
    <mergeCell ref="A1:Q1"/>
    <mergeCell ref="A3:D3"/>
  </mergeCells>
  <conditionalFormatting sqref="Q6:Q19">
    <cfRule type="expression" priority="1" dxfId="3" stopIfTrue="0">
      <formula>$Q6="LENGKAP"</formula>
    </cfRule>
    <cfRule type="expression" priority="2" dxfId="5" stopIfTrue="0">
      <formula>AND($Q6&lt;&gt;"LENGKAP",$Q6&lt;&gt;"Belum ditampal",$Q6&lt;&gt;"Dikecualikan")</formula>
    </cfRule>
  </conditionalFormatting>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7C3AED"/>
    <outlinePr summaryBelow="1" summaryRight="1"/>
    <pageSetUpPr fitToPage="1"/>
  </sheetPr>
  <dimension ref="A1:Q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4" customWidth="1" min="13" max="13"/>
    <col width="12" customWidth="1" min="14" max="14"/>
    <col width="11" customWidth="1" min="15" max="15"/>
    <col width="13" customWidth="1" min="16" max="16"/>
    <col width="26" customWidth="1" min="17" max="17"/>
  </cols>
  <sheetData>
    <row r="1" ht="32" customHeight="1">
      <c r="A1" s="1" t="inlineStr">
        <is>
          <t>MARKAH HAKIM H3  |  tampal daripada tab SALIN borang hakim berkenaan</t>
        </is>
      </c>
      <c r="B1" s="2" t="n"/>
      <c r="C1" s="2" t="n"/>
      <c r="D1" s="2" t="n"/>
      <c r="E1" s="2" t="n"/>
      <c r="F1" s="2" t="n"/>
      <c r="G1" s="2" t="n"/>
      <c r="H1" s="2" t="n"/>
      <c r="I1" s="2" t="n"/>
      <c r="J1" s="2" t="n"/>
      <c r="K1" s="2" t="n"/>
      <c r="L1" s="2" t="n"/>
      <c r="M1" s="2" t="n"/>
      <c r="N1" s="2" t="n"/>
      <c r="O1" s="2" t="n"/>
      <c r="P1" s="2" t="n"/>
      <c r="Q1" s="2" t="n"/>
    </row>
    <row r="2" ht="24" customHeight="1">
      <c r="A2" s="3" t="inlineStr">
        <is>
          <t>Tampal NILAI SAHAJA (Ctrl+Shift+V) dari A5:M18 borang hakim ke sel A6. Lajur N hingga Q dikira dan disemak automatik. Jangan taip di lajur biru.</t>
        </is>
      </c>
      <c r="B2" s="4" t="n"/>
      <c r="C2" s="4" t="n"/>
      <c r="D2" s="4" t="n"/>
      <c r="E2" s="4" t="n"/>
      <c r="F2" s="4" t="n"/>
      <c r="G2" s="4" t="n"/>
      <c r="H2" s="4" t="n"/>
      <c r="I2" s="4" t="n"/>
      <c r="J2" s="4" t="n"/>
      <c r="K2" s="4" t="n"/>
      <c r="L2" s="4" t="n"/>
      <c r="M2" s="4" t="n"/>
      <c r="N2" s="4" t="n"/>
      <c r="O2" s="4" t="n"/>
      <c r="P2" s="4" t="n"/>
      <c r="Q2" s="4" t="n"/>
    </row>
    <row r="3" ht="26" customHeight="1">
      <c r="A3" s="132" t="inlineStr">
        <is>
          <t>Hakim: H3  (Panel Hakim)</t>
        </is>
      </c>
      <c r="B3" s="45" t="n"/>
      <c r="C3" s="45" t="n"/>
      <c r="D3" s="45" t="n"/>
    </row>
    <row r="4" ht="26" customHeight="1">
      <c r="A4" s="106" t="inlineStr">
        <is>
          <t>Maksimum</t>
        </is>
      </c>
      <c r="B4" s="107" t="n">
        <v>20</v>
      </c>
      <c r="C4" s="108" t="n">
        <v>15</v>
      </c>
      <c r="D4" s="109" t="n">
        <v>15</v>
      </c>
      <c r="E4" s="110" t="n">
        <v>10</v>
      </c>
      <c r="F4" s="111" t="n">
        <v>10</v>
      </c>
      <c r="G4" s="94" t="n">
        <v>10</v>
      </c>
      <c r="H4" s="97" t="n">
        <v>5</v>
      </c>
      <c r="I4" s="112" t="n">
        <v>10</v>
      </c>
      <c r="J4" s="113" t="n">
        <v>5</v>
      </c>
      <c r="K4" s="114" t="n">
        <v>3</v>
      </c>
      <c r="L4" s="114" t="n">
        <v>2</v>
      </c>
      <c r="M4" s="115" t="n"/>
      <c r="N4" s="115" t="n"/>
      <c r="O4" s="115" t="n"/>
      <c r="P4" s="115" t="n"/>
      <c r="Q4" s="115" t="n"/>
    </row>
    <row r="5" ht="48" customHeight="1">
      <c r="A5" s="50" t="inlineStr">
        <is>
          <t>Negeri</t>
        </is>
      </c>
      <c r="B5" s="75" t="inlineStr">
        <is>
          <t>Kreativiti</t>
        </is>
      </c>
      <c r="C5" s="74" t="inlineStr">
        <is>
          <t>Kandungan</t>
        </is>
      </c>
      <c r="D5" s="76" t="inlineStr">
        <is>
          <t>Canva</t>
        </is>
      </c>
      <c r="E5" s="77" t="inlineStr">
        <is>
          <t>AI</t>
        </is>
      </c>
      <c r="F5" s="78" t="inlineStr">
        <is>
          <t>CapCut</t>
        </is>
      </c>
      <c r="G5" s="81" t="inlineStr">
        <is>
          <t>Audio</t>
        </is>
      </c>
      <c r="H5" s="79" t="inlineStr">
        <is>
          <t>Etika</t>
        </is>
      </c>
      <c r="I5" s="116" t="inlineStr">
        <is>
          <t>Persembahan</t>
        </is>
      </c>
      <c r="J5" s="117" t="inlineStr">
        <is>
          <t>AURORA</t>
        </is>
      </c>
      <c r="K5" s="80" t="inlineStr">
        <is>
          <t>Penalti aset</t>
        </is>
      </c>
      <c r="L5" s="80" t="inlineStr">
        <is>
          <t>Penalti budi</t>
        </is>
      </c>
      <c r="M5" s="82" t="inlineStr">
        <is>
          <t>Jumlah akhir (rujukan hakim)</t>
        </is>
      </c>
      <c r="N5" s="81" t="inlineStr">
        <is>
          <t>Jumlah komponen</t>
        </is>
      </c>
      <c r="O5" s="80" t="inlineStr">
        <is>
          <t>Penalti</t>
        </is>
      </c>
      <c r="P5" s="77" t="inlineStr">
        <is>
          <t>JUMLAH HAKIM</t>
        </is>
      </c>
      <c r="Q5" s="82" t="inlineStr">
        <is>
          <t>Semakan</t>
        </is>
      </c>
    </row>
    <row r="6" ht="26" customHeight="1">
      <c r="A6" s="83" t="n"/>
      <c r="B6" s="118" t="n"/>
      <c r="C6" s="119" t="n"/>
      <c r="D6" s="120" t="n"/>
      <c r="E6" s="121" t="n"/>
      <c r="F6" s="122" t="n"/>
      <c r="G6" s="123" t="n"/>
      <c r="H6" s="124" t="n"/>
      <c r="I6" s="125" t="n"/>
      <c r="J6" s="126" t="n"/>
      <c r="K6" s="127" t="n"/>
      <c r="L6" s="127" t="n"/>
      <c r="M6" s="128" t="n"/>
      <c r="N6" s="123">
        <f>IF(COUNT(B6:J6)=9,SUM(B6:J6),"")</f>
        <v/>
      </c>
      <c r="O6" s="127">
        <f>IF(N6="","",N(K6)+N(L6))</f>
        <v/>
      </c>
      <c r="P6" s="129">
        <f>IF(N6="","",MAX(0,N6-O6))</f>
        <v/>
      </c>
      <c r="Q6" s="130">
        <f>IF(KEPUTUSAN!$D6&lt;&gt;"Aktif","Dikecualikan",IF(COUNT(B6:J6)=0,"Belum ditampal",IF(A6&lt;&gt;KEPUTUSAN!$B6,"Negeri tidak sepadan",IF(OR(COUNT(B6:J6)&lt;9,K6="",L6=""),"Tidak lengkap",IF(OR(SUMPRODUCT((B6:J6&gt;$B$4:$J$4)*1)&gt;0,SUMPRODUCT((B6:J6&lt;0)*1)&gt;0,K6&gt;3,L6&gt;2,K6&lt;0,L6&lt;0),"Melebihi had",IF(SUMPRODUCT((B6:J6&lt;&gt;INT(B6:J6))*1)&gt;0,"Bukan nombor bulat",IF(N(M6)&lt;&gt;P6,"Jumlah rujukan tidak sepadan","LENGKAP")))))))</f>
        <v/>
      </c>
    </row>
    <row r="7" ht="26" customHeight="1">
      <c r="A7" s="83" t="n"/>
      <c r="B7" s="118" t="n"/>
      <c r="C7" s="119" t="n"/>
      <c r="D7" s="120" t="n"/>
      <c r="E7" s="121" t="n"/>
      <c r="F7" s="122" t="n"/>
      <c r="G7" s="123" t="n"/>
      <c r="H7" s="124" t="n"/>
      <c r="I7" s="125" t="n"/>
      <c r="J7" s="126" t="n"/>
      <c r="K7" s="127" t="n"/>
      <c r="L7" s="127" t="n"/>
      <c r="M7" s="128" t="n"/>
      <c r="N7" s="123">
        <f>IF(COUNT(B7:J7)=9,SUM(B7:J7),"")</f>
        <v/>
      </c>
      <c r="O7" s="127">
        <f>IF(N7="","",N(K7)+N(L7))</f>
        <v/>
      </c>
      <c r="P7" s="129">
        <f>IF(N7="","",MAX(0,N7-O7))</f>
        <v/>
      </c>
      <c r="Q7" s="130">
        <f>IF(KEPUTUSAN!$D7&lt;&gt;"Aktif","Dikecualikan",IF(COUNT(B7:J7)=0,"Belum ditampal",IF(A7&lt;&gt;KEPUTUSAN!$B7,"Negeri tidak sepadan",IF(OR(COUNT(B7:J7)&lt;9,K7="",L7=""),"Tidak lengkap",IF(OR(SUMPRODUCT((B7:J7&gt;$B$4:$J$4)*1)&gt;0,SUMPRODUCT((B7:J7&lt;0)*1)&gt;0,K7&gt;3,L7&gt;2,K7&lt;0,L7&lt;0),"Melebihi had",IF(SUMPRODUCT((B7:J7&lt;&gt;INT(B7:J7))*1)&gt;0,"Bukan nombor bulat",IF(N(M7)&lt;&gt;P7,"Jumlah rujukan tidak sepadan","LENGKAP")))))))</f>
        <v/>
      </c>
    </row>
    <row r="8" ht="26" customHeight="1">
      <c r="A8" s="83" t="n"/>
      <c r="B8" s="118" t="n"/>
      <c r="C8" s="119" t="n"/>
      <c r="D8" s="120" t="n"/>
      <c r="E8" s="121" t="n"/>
      <c r="F8" s="122" t="n"/>
      <c r="G8" s="123" t="n"/>
      <c r="H8" s="124" t="n"/>
      <c r="I8" s="125" t="n"/>
      <c r="J8" s="126" t="n"/>
      <c r="K8" s="127" t="n"/>
      <c r="L8" s="127" t="n"/>
      <c r="M8" s="128" t="n"/>
      <c r="N8" s="123">
        <f>IF(COUNT(B8:J8)=9,SUM(B8:J8),"")</f>
        <v/>
      </c>
      <c r="O8" s="127">
        <f>IF(N8="","",N(K8)+N(L8))</f>
        <v/>
      </c>
      <c r="P8" s="129">
        <f>IF(N8="","",MAX(0,N8-O8))</f>
        <v/>
      </c>
      <c r="Q8" s="130">
        <f>IF(KEPUTUSAN!$D8&lt;&gt;"Aktif","Dikecualikan",IF(COUNT(B8:J8)=0,"Belum ditampal",IF(A8&lt;&gt;KEPUTUSAN!$B8,"Negeri tidak sepadan",IF(OR(COUNT(B8:J8)&lt;9,K8="",L8=""),"Tidak lengkap",IF(OR(SUMPRODUCT((B8:J8&gt;$B$4:$J$4)*1)&gt;0,SUMPRODUCT((B8:J8&lt;0)*1)&gt;0,K8&gt;3,L8&gt;2,K8&lt;0,L8&lt;0),"Melebihi had",IF(SUMPRODUCT((B8:J8&lt;&gt;INT(B8:J8))*1)&gt;0,"Bukan nombor bulat",IF(N(M8)&lt;&gt;P8,"Jumlah rujukan tidak sepadan","LENGKAP")))))))</f>
        <v/>
      </c>
    </row>
    <row r="9" ht="26" customHeight="1">
      <c r="A9" s="83" t="n"/>
      <c r="B9" s="118" t="n"/>
      <c r="C9" s="119" t="n"/>
      <c r="D9" s="120" t="n"/>
      <c r="E9" s="121" t="n"/>
      <c r="F9" s="122" t="n"/>
      <c r="G9" s="123" t="n"/>
      <c r="H9" s="124" t="n"/>
      <c r="I9" s="125" t="n"/>
      <c r="J9" s="126" t="n"/>
      <c r="K9" s="127" t="n"/>
      <c r="L9" s="127" t="n"/>
      <c r="M9" s="128" t="n"/>
      <c r="N9" s="123">
        <f>IF(COUNT(B9:J9)=9,SUM(B9:J9),"")</f>
        <v/>
      </c>
      <c r="O9" s="127">
        <f>IF(N9="","",N(K9)+N(L9))</f>
        <v/>
      </c>
      <c r="P9" s="129">
        <f>IF(N9="","",MAX(0,N9-O9))</f>
        <v/>
      </c>
      <c r="Q9" s="130">
        <f>IF(KEPUTUSAN!$D9&lt;&gt;"Aktif","Dikecualikan",IF(COUNT(B9:J9)=0,"Belum ditampal",IF(A9&lt;&gt;KEPUTUSAN!$B9,"Negeri tidak sepadan",IF(OR(COUNT(B9:J9)&lt;9,K9="",L9=""),"Tidak lengkap",IF(OR(SUMPRODUCT((B9:J9&gt;$B$4:$J$4)*1)&gt;0,SUMPRODUCT((B9:J9&lt;0)*1)&gt;0,K9&gt;3,L9&gt;2,K9&lt;0,L9&lt;0),"Melebihi had",IF(SUMPRODUCT((B9:J9&lt;&gt;INT(B9:J9))*1)&gt;0,"Bukan nombor bulat",IF(N(M9)&lt;&gt;P9,"Jumlah rujukan tidak sepadan","LENGKAP")))))))</f>
        <v/>
      </c>
    </row>
    <row r="10" ht="26" customHeight="1">
      <c r="A10" s="83" t="n"/>
      <c r="B10" s="118" t="n"/>
      <c r="C10" s="119" t="n"/>
      <c r="D10" s="120" t="n"/>
      <c r="E10" s="121" t="n"/>
      <c r="F10" s="122" t="n"/>
      <c r="G10" s="123" t="n"/>
      <c r="H10" s="124" t="n"/>
      <c r="I10" s="125" t="n"/>
      <c r="J10" s="126" t="n"/>
      <c r="K10" s="127" t="n"/>
      <c r="L10" s="127" t="n"/>
      <c r="M10" s="128" t="n"/>
      <c r="N10" s="123">
        <f>IF(COUNT(B10:J10)=9,SUM(B10:J10),"")</f>
        <v/>
      </c>
      <c r="O10" s="127">
        <f>IF(N10="","",N(K10)+N(L10))</f>
        <v/>
      </c>
      <c r="P10" s="129">
        <f>IF(N10="","",MAX(0,N10-O10))</f>
        <v/>
      </c>
      <c r="Q10" s="130">
        <f>IF(KEPUTUSAN!$D10&lt;&gt;"Aktif","Dikecualikan",IF(COUNT(B10:J10)=0,"Belum ditampal",IF(A10&lt;&gt;KEPUTUSAN!$B10,"Negeri tidak sepadan",IF(OR(COUNT(B10:J10)&lt;9,K10="",L10=""),"Tidak lengkap",IF(OR(SUMPRODUCT((B10:J10&gt;$B$4:$J$4)*1)&gt;0,SUMPRODUCT((B10:J10&lt;0)*1)&gt;0,K10&gt;3,L10&gt;2,K10&lt;0,L10&lt;0),"Melebihi had",IF(SUMPRODUCT((B10:J10&lt;&gt;INT(B10:J10))*1)&gt;0,"Bukan nombor bulat",IF(N(M10)&lt;&gt;P10,"Jumlah rujukan tidak sepadan","LENGKAP")))))))</f>
        <v/>
      </c>
    </row>
    <row r="11" ht="26" customHeight="1">
      <c r="A11" s="83" t="n"/>
      <c r="B11" s="118" t="n"/>
      <c r="C11" s="119" t="n"/>
      <c r="D11" s="120" t="n"/>
      <c r="E11" s="121" t="n"/>
      <c r="F11" s="122" t="n"/>
      <c r="G11" s="123" t="n"/>
      <c r="H11" s="124" t="n"/>
      <c r="I11" s="125" t="n"/>
      <c r="J11" s="126" t="n"/>
      <c r="K11" s="127" t="n"/>
      <c r="L11" s="127" t="n"/>
      <c r="M11" s="128" t="n"/>
      <c r="N11" s="123">
        <f>IF(COUNT(B11:J11)=9,SUM(B11:J11),"")</f>
        <v/>
      </c>
      <c r="O11" s="127">
        <f>IF(N11="","",N(K11)+N(L11))</f>
        <v/>
      </c>
      <c r="P11" s="129">
        <f>IF(N11="","",MAX(0,N11-O11))</f>
        <v/>
      </c>
      <c r="Q11" s="130">
        <f>IF(KEPUTUSAN!$D11&lt;&gt;"Aktif","Dikecualikan",IF(COUNT(B11:J11)=0,"Belum ditampal",IF(A11&lt;&gt;KEPUTUSAN!$B11,"Negeri tidak sepadan",IF(OR(COUNT(B11:J11)&lt;9,K11="",L11=""),"Tidak lengkap",IF(OR(SUMPRODUCT((B11:J11&gt;$B$4:$J$4)*1)&gt;0,SUMPRODUCT((B11:J11&lt;0)*1)&gt;0,K11&gt;3,L11&gt;2,K11&lt;0,L11&lt;0),"Melebihi had",IF(SUMPRODUCT((B11:J11&lt;&gt;INT(B11:J11))*1)&gt;0,"Bukan nombor bulat",IF(N(M11)&lt;&gt;P11,"Jumlah rujukan tidak sepadan","LENGKAP")))))))</f>
        <v/>
      </c>
    </row>
    <row r="12" ht="26" customHeight="1">
      <c r="A12" s="83" t="n"/>
      <c r="B12" s="118" t="n"/>
      <c r="C12" s="119" t="n"/>
      <c r="D12" s="120" t="n"/>
      <c r="E12" s="121" t="n"/>
      <c r="F12" s="122" t="n"/>
      <c r="G12" s="123" t="n"/>
      <c r="H12" s="124" t="n"/>
      <c r="I12" s="125" t="n"/>
      <c r="J12" s="126" t="n"/>
      <c r="K12" s="127" t="n"/>
      <c r="L12" s="127" t="n"/>
      <c r="M12" s="128" t="n"/>
      <c r="N12" s="123">
        <f>IF(COUNT(B12:J12)=9,SUM(B12:J12),"")</f>
        <v/>
      </c>
      <c r="O12" s="127">
        <f>IF(N12="","",N(K12)+N(L12))</f>
        <v/>
      </c>
      <c r="P12" s="129">
        <f>IF(N12="","",MAX(0,N12-O12))</f>
        <v/>
      </c>
      <c r="Q12" s="130">
        <f>IF(KEPUTUSAN!$D12&lt;&gt;"Aktif","Dikecualikan",IF(COUNT(B12:J12)=0,"Belum ditampal",IF(A12&lt;&gt;KEPUTUSAN!$B12,"Negeri tidak sepadan",IF(OR(COUNT(B12:J12)&lt;9,K12="",L12=""),"Tidak lengkap",IF(OR(SUMPRODUCT((B12:J12&gt;$B$4:$J$4)*1)&gt;0,SUMPRODUCT((B12:J12&lt;0)*1)&gt;0,K12&gt;3,L12&gt;2,K12&lt;0,L12&lt;0),"Melebihi had",IF(SUMPRODUCT((B12:J12&lt;&gt;INT(B12:J12))*1)&gt;0,"Bukan nombor bulat",IF(N(M12)&lt;&gt;P12,"Jumlah rujukan tidak sepadan","LENGKAP")))))))</f>
        <v/>
      </c>
    </row>
    <row r="13" ht="26" customHeight="1">
      <c r="A13" s="83" t="n"/>
      <c r="B13" s="118" t="n"/>
      <c r="C13" s="119" t="n"/>
      <c r="D13" s="120" t="n"/>
      <c r="E13" s="121" t="n"/>
      <c r="F13" s="122" t="n"/>
      <c r="G13" s="123" t="n"/>
      <c r="H13" s="124" t="n"/>
      <c r="I13" s="125" t="n"/>
      <c r="J13" s="126" t="n"/>
      <c r="K13" s="127" t="n"/>
      <c r="L13" s="127" t="n"/>
      <c r="M13" s="128" t="n"/>
      <c r="N13" s="123">
        <f>IF(COUNT(B13:J13)=9,SUM(B13:J13),"")</f>
        <v/>
      </c>
      <c r="O13" s="127">
        <f>IF(N13="","",N(K13)+N(L13))</f>
        <v/>
      </c>
      <c r="P13" s="129">
        <f>IF(N13="","",MAX(0,N13-O13))</f>
        <v/>
      </c>
      <c r="Q13" s="130">
        <f>IF(KEPUTUSAN!$D13&lt;&gt;"Aktif","Dikecualikan",IF(COUNT(B13:J13)=0,"Belum ditampal",IF(A13&lt;&gt;KEPUTUSAN!$B13,"Negeri tidak sepadan",IF(OR(COUNT(B13:J13)&lt;9,K13="",L13=""),"Tidak lengkap",IF(OR(SUMPRODUCT((B13:J13&gt;$B$4:$J$4)*1)&gt;0,SUMPRODUCT((B13:J13&lt;0)*1)&gt;0,K13&gt;3,L13&gt;2,K13&lt;0,L13&lt;0),"Melebihi had",IF(SUMPRODUCT((B13:J13&lt;&gt;INT(B13:J13))*1)&gt;0,"Bukan nombor bulat",IF(N(M13)&lt;&gt;P13,"Jumlah rujukan tidak sepadan","LENGKAP")))))))</f>
        <v/>
      </c>
    </row>
    <row r="14" ht="26" customHeight="1">
      <c r="A14" s="83" t="n"/>
      <c r="B14" s="118" t="n"/>
      <c r="C14" s="119" t="n"/>
      <c r="D14" s="120" t="n"/>
      <c r="E14" s="121" t="n"/>
      <c r="F14" s="122" t="n"/>
      <c r="G14" s="123" t="n"/>
      <c r="H14" s="124" t="n"/>
      <c r="I14" s="125" t="n"/>
      <c r="J14" s="126" t="n"/>
      <c r="K14" s="127" t="n"/>
      <c r="L14" s="127" t="n"/>
      <c r="M14" s="128" t="n"/>
      <c r="N14" s="123">
        <f>IF(COUNT(B14:J14)=9,SUM(B14:J14),"")</f>
        <v/>
      </c>
      <c r="O14" s="127">
        <f>IF(N14="","",N(K14)+N(L14))</f>
        <v/>
      </c>
      <c r="P14" s="129">
        <f>IF(N14="","",MAX(0,N14-O14))</f>
        <v/>
      </c>
      <c r="Q14" s="130">
        <f>IF(KEPUTUSAN!$D14&lt;&gt;"Aktif","Dikecualikan",IF(COUNT(B14:J14)=0,"Belum ditampal",IF(A14&lt;&gt;KEPUTUSAN!$B14,"Negeri tidak sepadan",IF(OR(COUNT(B14:J14)&lt;9,K14="",L14=""),"Tidak lengkap",IF(OR(SUMPRODUCT((B14:J14&gt;$B$4:$J$4)*1)&gt;0,SUMPRODUCT((B14:J14&lt;0)*1)&gt;0,K14&gt;3,L14&gt;2,K14&lt;0,L14&lt;0),"Melebihi had",IF(SUMPRODUCT((B14:J14&lt;&gt;INT(B14:J14))*1)&gt;0,"Bukan nombor bulat",IF(N(M14)&lt;&gt;P14,"Jumlah rujukan tidak sepadan","LENGKAP")))))))</f>
        <v/>
      </c>
    </row>
    <row r="15" ht="26" customHeight="1">
      <c r="A15" s="83" t="n"/>
      <c r="B15" s="118" t="n"/>
      <c r="C15" s="119" t="n"/>
      <c r="D15" s="120" t="n"/>
      <c r="E15" s="121" t="n"/>
      <c r="F15" s="122" t="n"/>
      <c r="G15" s="123" t="n"/>
      <c r="H15" s="124" t="n"/>
      <c r="I15" s="125" t="n"/>
      <c r="J15" s="126" t="n"/>
      <c r="K15" s="127" t="n"/>
      <c r="L15" s="127" t="n"/>
      <c r="M15" s="128" t="n"/>
      <c r="N15" s="123">
        <f>IF(COUNT(B15:J15)=9,SUM(B15:J15),"")</f>
        <v/>
      </c>
      <c r="O15" s="127">
        <f>IF(N15="","",N(K15)+N(L15))</f>
        <v/>
      </c>
      <c r="P15" s="129">
        <f>IF(N15="","",MAX(0,N15-O15))</f>
        <v/>
      </c>
      <c r="Q15" s="130">
        <f>IF(KEPUTUSAN!$D15&lt;&gt;"Aktif","Dikecualikan",IF(COUNT(B15:J15)=0,"Belum ditampal",IF(A15&lt;&gt;KEPUTUSAN!$B15,"Negeri tidak sepadan",IF(OR(COUNT(B15:J15)&lt;9,K15="",L15=""),"Tidak lengkap",IF(OR(SUMPRODUCT((B15:J15&gt;$B$4:$J$4)*1)&gt;0,SUMPRODUCT((B15:J15&lt;0)*1)&gt;0,K15&gt;3,L15&gt;2,K15&lt;0,L15&lt;0),"Melebihi had",IF(SUMPRODUCT((B15:J15&lt;&gt;INT(B15:J15))*1)&gt;0,"Bukan nombor bulat",IF(N(M15)&lt;&gt;P15,"Jumlah rujukan tidak sepadan","LENGKAP")))))))</f>
        <v/>
      </c>
    </row>
    <row r="16" ht="26" customHeight="1">
      <c r="A16" s="83" t="n"/>
      <c r="B16" s="118" t="n"/>
      <c r="C16" s="119" t="n"/>
      <c r="D16" s="120" t="n"/>
      <c r="E16" s="121" t="n"/>
      <c r="F16" s="122" t="n"/>
      <c r="G16" s="123" t="n"/>
      <c r="H16" s="124" t="n"/>
      <c r="I16" s="125" t="n"/>
      <c r="J16" s="126" t="n"/>
      <c r="K16" s="127" t="n"/>
      <c r="L16" s="127" t="n"/>
      <c r="M16" s="128" t="n"/>
      <c r="N16" s="123">
        <f>IF(COUNT(B16:J16)=9,SUM(B16:J16),"")</f>
        <v/>
      </c>
      <c r="O16" s="127">
        <f>IF(N16="","",N(K16)+N(L16))</f>
        <v/>
      </c>
      <c r="P16" s="129">
        <f>IF(N16="","",MAX(0,N16-O16))</f>
        <v/>
      </c>
      <c r="Q16" s="130">
        <f>IF(KEPUTUSAN!$D16&lt;&gt;"Aktif","Dikecualikan",IF(COUNT(B16:J16)=0,"Belum ditampal",IF(A16&lt;&gt;KEPUTUSAN!$B16,"Negeri tidak sepadan",IF(OR(COUNT(B16:J16)&lt;9,K16="",L16=""),"Tidak lengkap",IF(OR(SUMPRODUCT((B16:J16&gt;$B$4:$J$4)*1)&gt;0,SUMPRODUCT((B16:J16&lt;0)*1)&gt;0,K16&gt;3,L16&gt;2,K16&lt;0,L16&lt;0),"Melebihi had",IF(SUMPRODUCT((B16:J16&lt;&gt;INT(B16:J16))*1)&gt;0,"Bukan nombor bulat",IF(N(M16)&lt;&gt;P16,"Jumlah rujukan tidak sepadan","LENGKAP")))))))</f>
        <v/>
      </c>
    </row>
    <row r="17" ht="26" customHeight="1">
      <c r="A17" s="83" t="n"/>
      <c r="B17" s="118" t="n"/>
      <c r="C17" s="119" t="n"/>
      <c r="D17" s="120" t="n"/>
      <c r="E17" s="121" t="n"/>
      <c r="F17" s="122" t="n"/>
      <c r="G17" s="123" t="n"/>
      <c r="H17" s="124" t="n"/>
      <c r="I17" s="125" t="n"/>
      <c r="J17" s="126" t="n"/>
      <c r="K17" s="127" t="n"/>
      <c r="L17" s="127" t="n"/>
      <c r="M17" s="128" t="n"/>
      <c r="N17" s="123">
        <f>IF(COUNT(B17:J17)=9,SUM(B17:J17),"")</f>
        <v/>
      </c>
      <c r="O17" s="127">
        <f>IF(N17="","",N(K17)+N(L17))</f>
        <v/>
      </c>
      <c r="P17" s="129">
        <f>IF(N17="","",MAX(0,N17-O17))</f>
        <v/>
      </c>
      <c r="Q17" s="130">
        <f>IF(KEPUTUSAN!$D17&lt;&gt;"Aktif","Dikecualikan",IF(COUNT(B17:J17)=0,"Belum ditampal",IF(A17&lt;&gt;KEPUTUSAN!$B17,"Negeri tidak sepadan",IF(OR(COUNT(B17:J17)&lt;9,K17="",L17=""),"Tidak lengkap",IF(OR(SUMPRODUCT((B17:J17&gt;$B$4:$J$4)*1)&gt;0,SUMPRODUCT((B17:J17&lt;0)*1)&gt;0,K17&gt;3,L17&gt;2,K17&lt;0,L17&lt;0),"Melebihi had",IF(SUMPRODUCT((B17:J17&lt;&gt;INT(B17:J17))*1)&gt;0,"Bukan nombor bulat",IF(N(M17)&lt;&gt;P17,"Jumlah rujukan tidak sepadan","LENGKAP")))))))</f>
        <v/>
      </c>
    </row>
    <row r="18" ht="26" customHeight="1">
      <c r="A18" s="83" t="n"/>
      <c r="B18" s="118" t="n"/>
      <c r="C18" s="119" t="n"/>
      <c r="D18" s="120" t="n"/>
      <c r="E18" s="121" t="n"/>
      <c r="F18" s="122" t="n"/>
      <c r="G18" s="123" t="n"/>
      <c r="H18" s="124" t="n"/>
      <c r="I18" s="125" t="n"/>
      <c r="J18" s="126" t="n"/>
      <c r="K18" s="127" t="n"/>
      <c r="L18" s="127" t="n"/>
      <c r="M18" s="128" t="n"/>
      <c r="N18" s="123">
        <f>IF(COUNT(B18:J18)=9,SUM(B18:J18),"")</f>
        <v/>
      </c>
      <c r="O18" s="127">
        <f>IF(N18="","",N(K18)+N(L18))</f>
        <v/>
      </c>
      <c r="P18" s="129">
        <f>IF(N18="","",MAX(0,N18-O18))</f>
        <v/>
      </c>
      <c r="Q18" s="130">
        <f>IF(KEPUTUSAN!$D18&lt;&gt;"Aktif","Dikecualikan",IF(COUNT(B18:J18)=0,"Belum ditampal",IF(A18&lt;&gt;KEPUTUSAN!$B18,"Negeri tidak sepadan",IF(OR(COUNT(B18:J18)&lt;9,K18="",L18=""),"Tidak lengkap",IF(OR(SUMPRODUCT((B18:J18&gt;$B$4:$J$4)*1)&gt;0,SUMPRODUCT((B18:J18&lt;0)*1)&gt;0,K18&gt;3,L18&gt;2,K18&lt;0,L18&lt;0),"Melebihi had",IF(SUMPRODUCT((B18:J18&lt;&gt;INT(B18:J18))*1)&gt;0,"Bukan nombor bulat",IF(N(M18)&lt;&gt;P18,"Jumlah rujukan tidak sepadan","LENGKAP")))))))</f>
        <v/>
      </c>
    </row>
    <row r="19" ht="26" customHeight="1">
      <c r="A19" s="83" t="n"/>
      <c r="B19" s="118" t="n"/>
      <c r="C19" s="119" t="n"/>
      <c r="D19" s="120" t="n"/>
      <c r="E19" s="121" t="n"/>
      <c r="F19" s="122" t="n"/>
      <c r="G19" s="123" t="n"/>
      <c r="H19" s="124" t="n"/>
      <c r="I19" s="125" t="n"/>
      <c r="J19" s="126" t="n"/>
      <c r="K19" s="127" t="n"/>
      <c r="L19" s="127" t="n"/>
      <c r="M19" s="128" t="n"/>
      <c r="N19" s="123">
        <f>IF(COUNT(B19:J19)=9,SUM(B19:J19),"")</f>
        <v/>
      </c>
      <c r="O19" s="127">
        <f>IF(N19="","",N(K19)+N(L19))</f>
        <v/>
      </c>
      <c r="P19" s="129">
        <f>IF(N19="","",MAX(0,N19-O19))</f>
        <v/>
      </c>
      <c r="Q19" s="130">
        <f>IF(KEPUTUSAN!$D19&lt;&gt;"Aktif","Dikecualikan",IF(COUNT(B19:J19)=0,"Belum ditampal",IF(A19&lt;&gt;KEPUTUSAN!$B19,"Negeri tidak sepadan",IF(OR(COUNT(B19:J19)&lt;9,K19="",L19=""),"Tidak lengkap",IF(OR(SUMPRODUCT((B19:J19&gt;$B$4:$J$4)*1)&gt;0,SUMPRODUCT((B19:J19&lt;0)*1)&gt;0,K19&gt;3,L19&gt;2,K19&lt;0,L19&lt;0),"Melebihi had",IF(SUMPRODUCT((B19:J19&lt;&gt;INT(B19:J19))*1)&gt;0,"Bukan nombor bulat",IF(N(M19)&lt;&gt;P19,"Jumlah rujukan tidak sepadan","LENGKAP")))))))</f>
        <v/>
      </c>
    </row>
  </sheetData>
  <mergeCells count="3">
    <mergeCell ref="A2:Q2"/>
    <mergeCell ref="A1:Q1"/>
    <mergeCell ref="A3:D3"/>
  </mergeCells>
  <conditionalFormatting sqref="Q6:Q19">
    <cfRule type="expression" priority="1" dxfId="3" stopIfTrue="0">
      <formula>$Q6="LENGKAP"</formula>
    </cfRule>
    <cfRule type="expression" priority="2" dxfId="5" stopIfTrue="0">
      <formula>AND($Q6&lt;&gt;"LENGKAP",$Q6&lt;&gt;"Belum ditampal",$Q6&lt;&gt;"Dikecualikan")</formula>
    </cfRule>
  </conditionalFormatting>
  <printOptions horizontalCentered="1"/>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7C3AED"/>
    <outlinePr summaryBelow="1" summaryRight="1"/>
    <pageSetUpPr fitToPage="1"/>
  </sheetPr>
  <dimension ref="A1:AG21"/>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9" customWidth="1" min="29" max="29"/>
    <col width="13" customWidth="1" min="30" max="30"/>
    <col width="26" customWidth="1" min="31" max="31"/>
    <col width="10" customWidth="1" min="32" max="32"/>
    <col width="26" customWidth="1" min="33" max="33"/>
  </cols>
  <sheetData>
    <row r="1" ht="32" customHeight="1">
      <c r="A1" s="1" t="inlineStr">
        <is>
          <t>MATRIKS JURI AWAM  |  25 juri x 14 pasukan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24" customHeight="1">
      <c r="A2" s="3" t="inlineStr">
        <is>
          <t>Tampal NILAI SAHAJA lajur JUMLAH (G9:G22) borang juri ke lajur juri berkenaan bermula baris 6. Nilai 3 hingga 30 (jumlah tiga aspek). Kosong = tidak mengundi. Sumbangan = jumlah / 30 x 4.</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row>
    <row r="5" ht="48" customHeight="1">
      <c r="A5" s="50" t="inlineStr">
        <is>
          <t>Bil</t>
        </is>
      </c>
      <c r="B5" s="50" t="inlineStr">
        <is>
          <t>Negeri</t>
        </is>
      </c>
      <c r="C5" s="50" t="inlineStr">
        <is>
          <t>Pasukan</t>
        </is>
      </c>
      <c r="D5" s="74" t="inlineStr">
        <is>
          <t>Juri 01</t>
        </is>
      </c>
      <c r="E5" s="75" t="inlineStr">
        <is>
          <t>Juri 02</t>
        </is>
      </c>
      <c r="F5" s="79" t="inlineStr">
        <is>
          <t>Juri 03</t>
        </is>
      </c>
      <c r="G5" s="76" t="inlineStr">
        <is>
          <t>Juri 04</t>
        </is>
      </c>
      <c r="H5" s="77" t="inlineStr">
        <is>
          <t>Juri 05</t>
        </is>
      </c>
      <c r="I5" s="81" t="inlineStr">
        <is>
          <t>Juri 06</t>
        </is>
      </c>
      <c r="J5" s="78" t="inlineStr">
        <is>
          <t>Juri 07</t>
        </is>
      </c>
      <c r="K5" s="116" t="inlineStr">
        <is>
          <t>Juri 08</t>
        </is>
      </c>
      <c r="L5" s="117" t="inlineStr">
        <is>
          <t>Juri 09</t>
        </is>
      </c>
      <c r="M5" s="74" t="inlineStr">
        <is>
          <t>Juri 10</t>
        </is>
      </c>
      <c r="N5" s="75" t="inlineStr">
        <is>
          <t>Juri 11</t>
        </is>
      </c>
      <c r="O5" s="79" t="inlineStr">
        <is>
          <t>Juri 12</t>
        </is>
      </c>
      <c r="P5" s="76" t="inlineStr">
        <is>
          <t>Juri 13</t>
        </is>
      </c>
      <c r="Q5" s="77" t="inlineStr">
        <is>
          <t>Juri 14</t>
        </is>
      </c>
      <c r="R5" s="81" t="inlineStr">
        <is>
          <t>Juri 15</t>
        </is>
      </c>
      <c r="S5" s="78" t="inlineStr">
        <is>
          <t>Juri 16</t>
        </is>
      </c>
      <c r="T5" s="116" t="inlineStr">
        <is>
          <t>Juri 17</t>
        </is>
      </c>
      <c r="U5" s="117" t="inlineStr">
        <is>
          <t>Juri 18</t>
        </is>
      </c>
      <c r="V5" s="74" t="inlineStr">
        <is>
          <t>Juri 19</t>
        </is>
      </c>
      <c r="W5" s="75" t="inlineStr">
        <is>
          <t>Juri 20</t>
        </is>
      </c>
      <c r="X5" s="79" t="inlineStr">
        <is>
          <t>Juri 21</t>
        </is>
      </c>
      <c r="Y5" s="76" t="inlineStr">
        <is>
          <t>Juri 22</t>
        </is>
      </c>
      <c r="Z5" s="77" t="inlineStr">
        <is>
          <t>Juri 23</t>
        </is>
      </c>
      <c r="AA5" s="81" t="inlineStr">
        <is>
          <t>Juri 24</t>
        </is>
      </c>
      <c r="AB5" s="78" t="inlineStr">
        <is>
          <t>Juri 25</t>
        </is>
      </c>
      <c r="AC5" s="74" t="inlineStr">
        <is>
          <t>Bil undi</t>
        </is>
      </c>
      <c r="AD5" s="81" t="inlineStr">
        <is>
          <t>SKOR JURI (maks 100)</t>
        </is>
      </c>
      <c r="AE5" s="78" t="inlineStr">
        <is>
          <t>Kelayakan anugerah</t>
        </is>
      </c>
      <c r="AF5" s="79" t="inlineStr">
        <is>
          <t>Kedudukan juri</t>
        </is>
      </c>
      <c r="AG5" s="82" t="inlineStr">
        <is>
          <t>Catatan</t>
        </is>
      </c>
    </row>
    <row r="6" ht="26" customHeight="1">
      <c r="A6" s="52" t="n">
        <v>1</v>
      </c>
      <c r="B6" s="133">
        <f>KEPUTUSAN!B6</f>
        <v/>
      </c>
      <c r="C6" s="134">
        <f>KEPUTUSAN!C6</f>
        <v/>
      </c>
      <c r="D6" s="135" t="n"/>
      <c r="E6" s="136" t="n"/>
      <c r="F6" s="137" t="n"/>
      <c r="G6" s="138" t="n"/>
      <c r="H6" s="103" t="n"/>
      <c r="I6" s="139" t="n"/>
      <c r="J6" s="140" t="n"/>
      <c r="K6" s="141" t="n"/>
      <c r="L6" s="142" t="n"/>
      <c r="M6" s="143" t="n"/>
      <c r="N6" s="144" t="n"/>
      <c r="O6" s="145" t="n"/>
      <c r="P6" s="146" t="n"/>
      <c r="Q6" s="147" t="n"/>
      <c r="R6" s="148" t="n"/>
      <c r="S6" s="149" t="n"/>
      <c r="T6" s="150" t="n"/>
      <c r="U6" s="151" t="n"/>
      <c r="V6" s="135" t="n"/>
      <c r="W6" s="136" t="n"/>
      <c r="X6" s="137" t="n"/>
      <c r="Y6" s="138" t="n"/>
      <c r="Z6" s="103" t="n"/>
      <c r="AA6" s="139" t="n"/>
      <c r="AB6" s="140" t="n"/>
      <c r="AC6" s="86">
        <f>COUNT(D6:AB6)</f>
        <v/>
      </c>
      <c r="AD6" s="58">
        <f>ROUND(SUM(D6:AB6)/30*4,4)</f>
        <v/>
      </c>
      <c r="AE6" s="96">
        <f>IF(KEPUTUSAN!$D6&lt;&gt;"Aktif","Tidak aktif",IF(AC6&gt;25,"Tidak layak: lebih 25 undi",IF(AC6&lt;5,"Tidak layak: kurang 5 undi","LAYAK")))</f>
        <v/>
      </c>
      <c r="AF6" s="97">
        <f>IF(AE6="LAYAK",1+SUMPRODUCT(($AE$6:$AE$19="LAYAK")*($AD$6:$AD$19&gt;AD6)),"")</f>
        <v/>
      </c>
      <c r="AG6" s="152">
        <f>IF(AE6="LAYAK",IF(SUMPRODUCT(($AE$6:$AE$19="LAYAK")*($AD$6:$AD$19=AD6))&gt;1,"SERI: jawatankuasa putuskan",""),"")</f>
        <v/>
      </c>
    </row>
    <row r="7" ht="26" customHeight="1">
      <c r="A7" s="61" t="n">
        <v>2</v>
      </c>
      <c r="B7" s="133">
        <f>KEPUTUSAN!B7</f>
        <v/>
      </c>
      <c r="C7" s="134">
        <f>KEPUTUSAN!C7</f>
        <v/>
      </c>
      <c r="D7" s="135" t="n"/>
      <c r="E7" s="136" t="n"/>
      <c r="F7" s="137" t="n"/>
      <c r="G7" s="138" t="n"/>
      <c r="H7" s="103" t="n"/>
      <c r="I7" s="139" t="n"/>
      <c r="J7" s="140" t="n"/>
      <c r="K7" s="141" t="n"/>
      <c r="L7" s="142" t="n"/>
      <c r="M7" s="143" t="n"/>
      <c r="N7" s="144" t="n"/>
      <c r="O7" s="145" t="n"/>
      <c r="P7" s="146" t="n"/>
      <c r="Q7" s="147" t="n"/>
      <c r="R7" s="148" t="n"/>
      <c r="S7" s="149" t="n"/>
      <c r="T7" s="150" t="n"/>
      <c r="U7" s="151" t="n"/>
      <c r="V7" s="135" t="n"/>
      <c r="W7" s="136" t="n"/>
      <c r="X7" s="137" t="n"/>
      <c r="Y7" s="138" t="n"/>
      <c r="Z7" s="103" t="n"/>
      <c r="AA7" s="139" t="n"/>
      <c r="AB7" s="140" t="n"/>
      <c r="AC7" s="86">
        <f>COUNT(D7:AB7)</f>
        <v/>
      </c>
      <c r="AD7" s="58">
        <f>ROUND(SUM(D7:AB7)/30*4,4)</f>
        <v/>
      </c>
      <c r="AE7" s="96">
        <f>IF(KEPUTUSAN!$D7&lt;&gt;"Aktif","Tidak aktif",IF(AC7&gt;25,"Tidak layak: lebih 25 undi",IF(AC7&lt;5,"Tidak layak: kurang 5 undi","LAYAK")))</f>
        <v/>
      </c>
      <c r="AF7" s="97">
        <f>IF(AE7="LAYAK",1+SUMPRODUCT(($AE$6:$AE$19="LAYAK")*($AD$6:$AD$19&gt;AD7)),"")</f>
        <v/>
      </c>
      <c r="AG7" s="152">
        <f>IF(AE7="LAYAK",IF(SUMPRODUCT(($AE$6:$AE$19="LAYAK")*($AD$6:$AD$19=AD7))&gt;1,"SERI: jawatankuasa putuskan",""),"")</f>
        <v/>
      </c>
    </row>
    <row r="8" ht="26" customHeight="1">
      <c r="A8" s="63" t="n">
        <v>3</v>
      </c>
      <c r="B8" s="133">
        <f>KEPUTUSAN!B8</f>
        <v/>
      </c>
      <c r="C8" s="134">
        <f>KEPUTUSAN!C8</f>
        <v/>
      </c>
      <c r="D8" s="135" t="n"/>
      <c r="E8" s="136" t="n"/>
      <c r="F8" s="137" t="n"/>
      <c r="G8" s="138" t="n"/>
      <c r="H8" s="103" t="n"/>
      <c r="I8" s="139" t="n"/>
      <c r="J8" s="140" t="n"/>
      <c r="K8" s="141" t="n"/>
      <c r="L8" s="142" t="n"/>
      <c r="M8" s="143" t="n"/>
      <c r="N8" s="144" t="n"/>
      <c r="O8" s="145" t="n"/>
      <c r="P8" s="146" t="n"/>
      <c r="Q8" s="147" t="n"/>
      <c r="R8" s="148" t="n"/>
      <c r="S8" s="149" t="n"/>
      <c r="T8" s="150" t="n"/>
      <c r="U8" s="151" t="n"/>
      <c r="V8" s="135" t="n"/>
      <c r="W8" s="136" t="n"/>
      <c r="X8" s="137" t="n"/>
      <c r="Y8" s="138" t="n"/>
      <c r="Z8" s="103" t="n"/>
      <c r="AA8" s="139" t="n"/>
      <c r="AB8" s="140" t="n"/>
      <c r="AC8" s="86">
        <f>COUNT(D8:AB8)</f>
        <v/>
      </c>
      <c r="AD8" s="58">
        <f>ROUND(SUM(D8:AB8)/30*4,4)</f>
        <v/>
      </c>
      <c r="AE8" s="96">
        <f>IF(KEPUTUSAN!$D8&lt;&gt;"Aktif","Tidak aktif",IF(AC8&gt;25,"Tidak layak: lebih 25 undi",IF(AC8&lt;5,"Tidak layak: kurang 5 undi","LAYAK")))</f>
        <v/>
      </c>
      <c r="AF8" s="97">
        <f>IF(AE8="LAYAK",1+SUMPRODUCT(($AE$6:$AE$19="LAYAK")*($AD$6:$AD$19&gt;AD8)),"")</f>
        <v/>
      </c>
      <c r="AG8" s="152">
        <f>IF(AE8="LAYAK",IF(SUMPRODUCT(($AE$6:$AE$19="LAYAK")*($AD$6:$AD$19=AD8))&gt;1,"SERI: jawatankuasa putuskan",""),"")</f>
        <v/>
      </c>
    </row>
    <row r="9" ht="26" customHeight="1">
      <c r="A9" s="57" t="n">
        <v>4</v>
      </c>
      <c r="B9" s="133">
        <f>KEPUTUSAN!B9</f>
        <v/>
      </c>
      <c r="C9" s="134">
        <f>KEPUTUSAN!C9</f>
        <v/>
      </c>
      <c r="D9" s="135" t="n"/>
      <c r="E9" s="136" t="n"/>
      <c r="F9" s="137" t="n"/>
      <c r="G9" s="138" t="n"/>
      <c r="H9" s="103" t="n"/>
      <c r="I9" s="139" t="n"/>
      <c r="J9" s="140" t="n"/>
      <c r="K9" s="141" t="n"/>
      <c r="L9" s="142" t="n"/>
      <c r="M9" s="143" t="n"/>
      <c r="N9" s="144" t="n"/>
      <c r="O9" s="145" t="n"/>
      <c r="P9" s="146" t="n"/>
      <c r="Q9" s="147" t="n"/>
      <c r="R9" s="148" t="n"/>
      <c r="S9" s="149" t="n"/>
      <c r="T9" s="150" t="n"/>
      <c r="U9" s="151" t="n"/>
      <c r="V9" s="135" t="n"/>
      <c r="W9" s="136" t="n"/>
      <c r="X9" s="137" t="n"/>
      <c r="Y9" s="138" t="n"/>
      <c r="Z9" s="103" t="n"/>
      <c r="AA9" s="139" t="n"/>
      <c r="AB9" s="140" t="n"/>
      <c r="AC9" s="86">
        <f>COUNT(D9:AB9)</f>
        <v/>
      </c>
      <c r="AD9" s="58">
        <f>ROUND(SUM(D9:AB9)/30*4,4)</f>
        <v/>
      </c>
      <c r="AE9" s="96">
        <f>IF(KEPUTUSAN!$D9&lt;&gt;"Aktif","Tidak aktif",IF(AC9&gt;25,"Tidak layak: lebih 25 undi",IF(AC9&lt;5,"Tidak layak: kurang 5 undi","LAYAK")))</f>
        <v/>
      </c>
      <c r="AF9" s="97">
        <f>IF(AE9="LAYAK",1+SUMPRODUCT(($AE$6:$AE$19="LAYAK")*($AD$6:$AD$19&gt;AD9)),"")</f>
        <v/>
      </c>
      <c r="AG9" s="152">
        <f>IF(AE9="LAYAK",IF(SUMPRODUCT(($AE$6:$AE$19="LAYAK")*($AD$6:$AD$19=AD9))&gt;1,"SERI: jawatankuasa putuskan",""),"")</f>
        <v/>
      </c>
    </row>
    <row r="10" ht="26" customHeight="1">
      <c r="A10" s="62" t="n">
        <v>5</v>
      </c>
      <c r="B10" s="133">
        <f>KEPUTUSAN!B10</f>
        <v/>
      </c>
      <c r="C10" s="134">
        <f>KEPUTUSAN!C10</f>
        <v/>
      </c>
      <c r="D10" s="135" t="n"/>
      <c r="E10" s="136" t="n"/>
      <c r="F10" s="137" t="n"/>
      <c r="G10" s="138" t="n"/>
      <c r="H10" s="103" t="n"/>
      <c r="I10" s="139" t="n"/>
      <c r="J10" s="140" t="n"/>
      <c r="K10" s="141" t="n"/>
      <c r="L10" s="142" t="n"/>
      <c r="M10" s="143" t="n"/>
      <c r="N10" s="144" t="n"/>
      <c r="O10" s="145" t="n"/>
      <c r="P10" s="146" t="n"/>
      <c r="Q10" s="147" t="n"/>
      <c r="R10" s="148" t="n"/>
      <c r="S10" s="149" t="n"/>
      <c r="T10" s="150" t="n"/>
      <c r="U10" s="151" t="n"/>
      <c r="V10" s="135" t="n"/>
      <c r="W10" s="136" t="n"/>
      <c r="X10" s="137" t="n"/>
      <c r="Y10" s="138" t="n"/>
      <c r="Z10" s="103" t="n"/>
      <c r="AA10" s="139" t="n"/>
      <c r="AB10" s="140" t="n"/>
      <c r="AC10" s="86">
        <f>COUNT(D10:AB10)</f>
        <v/>
      </c>
      <c r="AD10" s="58">
        <f>ROUND(SUM(D10:AB10)/30*4,4)</f>
        <v/>
      </c>
      <c r="AE10" s="96">
        <f>IF(KEPUTUSAN!$D10&lt;&gt;"Aktif","Tidak aktif",IF(AC10&gt;25,"Tidak layak: lebih 25 undi",IF(AC10&lt;5,"Tidak layak: kurang 5 undi","LAYAK")))</f>
        <v/>
      </c>
      <c r="AF10" s="97">
        <f>IF(AE10="LAYAK",1+SUMPRODUCT(($AE$6:$AE$19="LAYAK")*($AD$6:$AD$19&gt;AD10)),"")</f>
        <v/>
      </c>
      <c r="AG10" s="152">
        <f>IF(AE10="LAYAK",IF(SUMPRODUCT(($AE$6:$AE$19="LAYAK")*($AD$6:$AD$19=AD10))&gt;1,"SERI: jawatankuasa putuskan",""),"")</f>
        <v/>
      </c>
    </row>
    <row r="11" ht="26" customHeight="1">
      <c r="A11" s="64" t="n">
        <v>6</v>
      </c>
      <c r="B11" s="133">
        <f>KEPUTUSAN!B11</f>
        <v/>
      </c>
      <c r="C11" s="134">
        <f>KEPUTUSAN!C11</f>
        <v/>
      </c>
      <c r="D11" s="135" t="n"/>
      <c r="E11" s="136" t="n"/>
      <c r="F11" s="137" t="n"/>
      <c r="G11" s="138" t="n"/>
      <c r="H11" s="103" t="n"/>
      <c r="I11" s="139" t="n"/>
      <c r="J11" s="140" t="n"/>
      <c r="K11" s="141" t="n"/>
      <c r="L11" s="142" t="n"/>
      <c r="M11" s="143" t="n"/>
      <c r="N11" s="144" t="n"/>
      <c r="O11" s="145" t="n"/>
      <c r="P11" s="146" t="n"/>
      <c r="Q11" s="147" t="n"/>
      <c r="R11" s="148" t="n"/>
      <c r="S11" s="149" t="n"/>
      <c r="T11" s="150" t="n"/>
      <c r="U11" s="151" t="n"/>
      <c r="V11" s="135" t="n"/>
      <c r="W11" s="136" t="n"/>
      <c r="X11" s="137" t="n"/>
      <c r="Y11" s="138" t="n"/>
      <c r="Z11" s="103" t="n"/>
      <c r="AA11" s="139" t="n"/>
      <c r="AB11" s="140" t="n"/>
      <c r="AC11" s="86">
        <f>COUNT(D11:AB11)</f>
        <v/>
      </c>
      <c r="AD11" s="58">
        <f>ROUND(SUM(D11:AB11)/30*4,4)</f>
        <v/>
      </c>
      <c r="AE11" s="96">
        <f>IF(KEPUTUSAN!$D11&lt;&gt;"Aktif","Tidak aktif",IF(AC11&gt;25,"Tidak layak: lebih 25 undi",IF(AC11&lt;5,"Tidak layak: kurang 5 undi","LAYAK")))</f>
        <v/>
      </c>
      <c r="AF11" s="97">
        <f>IF(AE11="LAYAK",1+SUMPRODUCT(($AE$6:$AE$19="LAYAK")*($AD$6:$AD$19&gt;AD11)),"")</f>
        <v/>
      </c>
      <c r="AG11" s="152">
        <f>IF(AE11="LAYAK",IF(SUMPRODUCT(($AE$6:$AE$19="LAYAK")*($AD$6:$AD$19=AD11))&gt;1,"SERI: jawatankuasa putuskan",""),"")</f>
        <v/>
      </c>
    </row>
    <row r="12" ht="26" customHeight="1">
      <c r="A12" s="65" t="n">
        <v>7</v>
      </c>
      <c r="B12" s="133">
        <f>KEPUTUSAN!B12</f>
        <v/>
      </c>
      <c r="C12" s="134">
        <f>KEPUTUSAN!C12</f>
        <v/>
      </c>
      <c r="D12" s="135" t="n"/>
      <c r="E12" s="136" t="n"/>
      <c r="F12" s="137" t="n"/>
      <c r="G12" s="138" t="n"/>
      <c r="H12" s="103" t="n"/>
      <c r="I12" s="139" t="n"/>
      <c r="J12" s="140" t="n"/>
      <c r="K12" s="141" t="n"/>
      <c r="L12" s="142" t="n"/>
      <c r="M12" s="143" t="n"/>
      <c r="N12" s="144" t="n"/>
      <c r="O12" s="145" t="n"/>
      <c r="P12" s="146" t="n"/>
      <c r="Q12" s="147" t="n"/>
      <c r="R12" s="148" t="n"/>
      <c r="S12" s="149" t="n"/>
      <c r="T12" s="150" t="n"/>
      <c r="U12" s="151" t="n"/>
      <c r="V12" s="135" t="n"/>
      <c r="W12" s="136" t="n"/>
      <c r="X12" s="137" t="n"/>
      <c r="Y12" s="138" t="n"/>
      <c r="Z12" s="103" t="n"/>
      <c r="AA12" s="139" t="n"/>
      <c r="AB12" s="140" t="n"/>
      <c r="AC12" s="86">
        <f>COUNT(D12:AB12)</f>
        <v/>
      </c>
      <c r="AD12" s="58">
        <f>ROUND(SUM(D12:AB12)/30*4,4)</f>
        <v/>
      </c>
      <c r="AE12" s="96">
        <f>IF(KEPUTUSAN!$D12&lt;&gt;"Aktif","Tidak aktif",IF(AC12&gt;25,"Tidak layak: lebih 25 undi",IF(AC12&lt;5,"Tidak layak: kurang 5 undi","LAYAK")))</f>
        <v/>
      </c>
      <c r="AF12" s="97">
        <f>IF(AE12="LAYAK",1+SUMPRODUCT(($AE$6:$AE$19="LAYAK")*($AD$6:$AD$19&gt;AD12)),"")</f>
        <v/>
      </c>
      <c r="AG12" s="152">
        <f>IF(AE12="LAYAK",IF(SUMPRODUCT(($AE$6:$AE$19="LAYAK")*($AD$6:$AD$19=AD12))&gt;1,"SERI: jawatankuasa putuskan",""),"")</f>
        <v/>
      </c>
    </row>
    <row r="13" ht="26" customHeight="1">
      <c r="A13" s="66" t="n">
        <v>8</v>
      </c>
      <c r="B13" s="133">
        <f>KEPUTUSAN!B13</f>
        <v/>
      </c>
      <c r="C13" s="134">
        <f>KEPUTUSAN!C13</f>
        <v/>
      </c>
      <c r="D13" s="135" t="n"/>
      <c r="E13" s="136" t="n"/>
      <c r="F13" s="137" t="n"/>
      <c r="G13" s="138" t="n"/>
      <c r="H13" s="103" t="n"/>
      <c r="I13" s="139" t="n"/>
      <c r="J13" s="140" t="n"/>
      <c r="K13" s="141" t="n"/>
      <c r="L13" s="142" t="n"/>
      <c r="M13" s="143" t="n"/>
      <c r="N13" s="144" t="n"/>
      <c r="O13" s="145" t="n"/>
      <c r="P13" s="146" t="n"/>
      <c r="Q13" s="147" t="n"/>
      <c r="R13" s="148" t="n"/>
      <c r="S13" s="149" t="n"/>
      <c r="T13" s="150" t="n"/>
      <c r="U13" s="151" t="n"/>
      <c r="V13" s="135" t="n"/>
      <c r="W13" s="136" t="n"/>
      <c r="X13" s="137" t="n"/>
      <c r="Y13" s="138" t="n"/>
      <c r="Z13" s="103" t="n"/>
      <c r="AA13" s="139" t="n"/>
      <c r="AB13" s="140" t="n"/>
      <c r="AC13" s="86">
        <f>COUNT(D13:AB13)</f>
        <v/>
      </c>
      <c r="AD13" s="58">
        <f>ROUND(SUM(D13:AB13)/30*4,4)</f>
        <v/>
      </c>
      <c r="AE13" s="96">
        <f>IF(KEPUTUSAN!$D13&lt;&gt;"Aktif","Tidak aktif",IF(AC13&gt;25,"Tidak layak: lebih 25 undi",IF(AC13&lt;5,"Tidak layak: kurang 5 undi","LAYAK")))</f>
        <v/>
      </c>
      <c r="AF13" s="97">
        <f>IF(AE13="LAYAK",1+SUMPRODUCT(($AE$6:$AE$19="LAYAK")*($AD$6:$AD$19&gt;AD13)),"")</f>
        <v/>
      </c>
      <c r="AG13" s="152">
        <f>IF(AE13="LAYAK",IF(SUMPRODUCT(($AE$6:$AE$19="LAYAK")*($AD$6:$AD$19=AD13))&gt;1,"SERI: jawatankuasa putuskan",""),"")</f>
        <v/>
      </c>
    </row>
    <row r="14" ht="26" customHeight="1">
      <c r="A14" s="67" t="n">
        <v>9</v>
      </c>
      <c r="B14" s="133">
        <f>KEPUTUSAN!B14</f>
        <v/>
      </c>
      <c r="C14" s="134">
        <f>KEPUTUSAN!C14</f>
        <v/>
      </c>
      <c r="D14" s="135" t="n"/>
      <c r="E14" s="136" t="n"/>
      <c r="F14" s="137" t="n"/>
      <c r="G14" s="138" t="n"/>
      <c r="H14" s="103" t="n"/>
      <c r="I14" s="139" t="n"/>
      <c r="J14" s="140" t="n"/>
      <c r="K14" s="141" t="n"/>
      <c r="L14" s="142" t="n"/>
      <c r="M14" s="143" t="n"/>
      <c r="N14" s="144" t="n"/>
      <c r="O14" s="145" t="n"/>
      <c r="P14" s="146" t="n"/>
      <c r="Q14" s="147" t="n"/>
      <c r="R14" s="148" t="n"/>
      <c r="S14" s="149" t="n"/>
      <c r="T14" s="150" t="n"/>
      <c r="U14" s="151" t="n"/>
      <c r="V14" s="135" t="n"/>
      <c r="W14" s="136" t="n"/>
      <c r="X14" s="137" t="n"/>
      <c r="Y14" s="138" t="n"/>
      <c r="Z14" s="103" t="n"/>
      <c r="AA14" s="139" t="n"/>
      <c r="AB14" s="140" t="n"/>
      <c r="AC14" s="86">
        <f>COUNT(D14:AB14)</f>
        <v/>
      </c>
      <c r="AD14" s="58">
        <f>ROUND(SUM(D14:AB14)/30*4,4)</f>
        <v/>
      </c>
      <c r="AE14" s="96">
        <f>IF(KEPUTUSAN!$D14&lt;&gt;"Aktif","Tidak aktif",IF(AC14&gt;25,"Tidak layak: lebih 25 undi",IF(AC14&lt;5,"Tidak layak: kurang 5 undi","LAYAK")))</f>
        <v/>
      </c>
      <c r="AF14" s="97">
        <f>IF(AE14="LAYAK",1+SUMPRODUCT(($AE$6:$AE$19="LAYAK")*($AD$6:$AD$19&gt;AD14)),"")</f>
        <v/>
      </c>
      <c r="AG14" s="152">
        <f>IF(AE14="LAYAK",IF(SUMPRODUCT(($AE$6:$AE$19="LAYAK")*($AD$6:$AD$19=AD14))&gt;1,"SERI: jawatankuasa putuskan",""),"")</f>
        <v/>
      </c>
    </row>
    <row r="15" ht="26" customHeight="1">
      <c r="A15" s="52" t="n">
        <v>10</v>
      </c>
      <c r="B15" s="133">
        <f>KEPUTUSAN!B15</f>
        <v/>
      </c>
      <c r="C15" s="134">
        <f>KEPUTUSAN!C15</f>
        <v/>
      </c>
      <c r="D15" s="135" t="n"/>
      <c r="E15" s="136" t="n"/>
      <c r="F15" s="137" t="n"/>
      <c r="G15" s="138" t="n"/>
      <c r="H15" s="103" t="n"/>
      <c r="I15" s="139" t="n"/>
      <c r="J15" s="140" t="n"/>
      <c r="K15" s="141" t="n"/>
      <c r="L15" s="142" t="n"/>
      <c r="M15" s="143" t="n"/>
      <c r="N15" s="144" t="n"/>
      <c r="O15" s="145" t="n"/>
      <c r="P15" s="146" t="n"/>
      <c r="Q15" s="147" t="n"/>
      <c r="R15" s="148" t="n"/>
      <c r="S15" s="149" t="n"/>
      <c r="T15" s="150" t="n"/>
      <c r="U15" s="151" t="n"/>
      <c r="V15" s="135" t="n"/>
      <c r="W15" s="136" t="n"/>
      <c r="X15" s="137" t="n"/>
      <c r="Y15" s="138" t="n"/>
      <c r="Z15" s="103" t="n"/>
      <c r="AA15" s="139" t="n"/>
      <c r="AB15" s="140" t="n"/>
      <c r="AC15" s="86">
        <f>COUNT(D15:AB15)</f>
        <v/>
      </c>
      <c r="AD15" s="58">
        <f>ROUND(SUM(D15:AB15)/30*4,4)</f>
        <v/>
      </c>
      <c r="AE15" s="96">
        <f>IF(KEPUTUSAN!$D15&lt;&gt;"Aktif","Tidak aktif",IF(AC15&gt;25,"Tidak layak: lebih 25 undi",IF(AC15&lt;5,"Tidak layak: kurang 5 undi","LAYAK")))</f>
        <v/>
      </c>
      <c r="AF15" s="97">
        <f>IF(AE15="LAYAK",1+SUMPRODUCT(($AE$6:$AE$19="LAYAK")*($AD$6:$AD$19&gt;AD15)),"")</f>
        <v/>
      </c>
      <c r="AG15" s="152">
        <f>IF(AE15="LAYAK",IF(SUMPRODUCT(($AE$6:$AE$19="LAYAK")*($AD$6:$AD$19=AD15))&gt;1,"SERI: jawatankuasa putuskan",""),"")</f>
        <v/>
      </c>
    </row>
    <row r="16" ht="26" customHeight="1">
      <c r="A16" s="61" t="n">
        <v>11</v>
      </c>
      <c r="B16" s="133">
        <f>KEPUTUSAN!B16</f>
        <v/>
      </c>
      <c r="C16" s="134">
        <f>KEPUTUSAN!C16</f>
        <v/>
      </c>
      <c r="D16" s="135" t="n"/>
      <c r="E16" s="136" t="n"/>
      <c r="F16" s="137" t="n"/>
      <c r="G16" s="138" t="n"/>
      <c r="H16" s="103" t="n"/>
      <c r="I16" s="139" t="n"/>
      <c r="J16" s="140" t="n"/>
      <c r="K16" s="141" t="n"/>
      <c r="L16" s="142" t="n"/>
      <c r="M16" s="143" t="n"/>
      <c r="N16" s="144" t="n"/>
      <c r="O16" s="145" t="n"/>
      <c r="P16" s="146" t="n"/>
      <c r="Q16" s="147" t="n"/>
      <c r="R16" s="148" t="n"/>
      <c r="S16" s="149" t="n"/>
      <c r="T16" s="150" t="n"/>
      <c r="U16" s="151" t="n"/>
      <c r="V16" s="135" t="n"/>
      <c r="W16" s="136" t="n"/>
      <c r="X16" s="137" t="n"/>
      <c r="Y16" s="138" t="n"/>
      <c r="Z16" s="103" t="n"/>
      <c r="AA16" s="139" t="n"/>
      <c r="AB16" s="140" t="n"/>
      <c r="AC16" s="86">
        <f>COUNT(D16:AB16)</f>
        <v/>
      </c>
      <c r="AD16" s="58">
        <f>ROUND(SUM(D16:AB16)/30*4,4)</f>
        <v/>
      </c>
      <c r="AE16" s="96">
        <f>IF(KEPUTUSAN!$D16&lt;&gt;"Aktif","Tidak aktif",IF(AC16&gt;25,"Tidak layak: lebih 25 undi",IF(AC16&lt;5,"Tidak layak: kurang 5 undi","LAYAK")))</f>
        <v/>
      </c>
      <c r="AF16" s="97">
        <f>IF(AE16="LAYAK",1+SUMPRODUCT(($AE$6:$AE$19="LAYAK")*($AD$6:$AD$19&gt;AD16)),"")</f>
        <v/>
      </c>
      <c r="AG16" s="152">
        <f>IF(AE16="LAYAK",IF(SUMPRODUCT(($AE$6:$AE$19="LAYAK")*($AD$6:$AD$19=AD16))&gt;1,"SERI: jawatankuasa putuskan",""),"")</f>
        <v/>
      </c>
    </row>
    <row r="17" ht="26" customHeight="1">
      <c r="A17" s="63" t="n">
        <v>12</v>
      </c>
      <c r="B17" s="133">
        <f>KEPUTUSAN!B17</f>
        <v/>
      </c>
      <c r="C17" s="134">
        <f>KEPUTUSAN!C17</f>
        <v/>
      </c>
      <c r="D17" s="135" t="n"/>
      <c r="E17" s="136" t="n"/>
      <c r="F17" s="137" t="n"/>
      <c r="G17" s="138" t="n"/>
      <c r="H17" s="103" t="n"/>
      <c r="I17" s="139" t="n"/>
      <c r="J17" s="140" t="n"/>
      <c r="K17" s="141" t="n"/>
      <c r="L17" s="142" t="n"/>
      <c r="M17" s="143" t="n"/>
      <c r="N17" s="144" t="n"/>
      <c r="O17" s="145" t="n"/>
      <c r="P17" s="146" t="n"/>
      <c r="Q17" s="147" t="n"/>
      <c r="R17" s="148" t="n"/>
      <c r="S17" s="149" t="n"/>
      <c r="T17" s="150" t="n"/>
      <c r="U17" s="151" t="n"/>
      <c r="V17" s="135" t="n"/>
      <c r="W17" s="136" t="n"/>
      <c r="X17" s="137" t="n"/>
      <c r="Y17" s="138" t="n"/>
      <c r="Z17" s="103" t="n"/>
      <c r="AA17" s="139" t="n"/>
      <c r="AB17" s="140" t="n"/>
      <c r="AC17" s="86">
        <f>COUNT(D17:AB17)</f>
        <v/>
      </c>
      <c r="AD17" s="58">
        <f>ROUND(SUM(D17:AB17)/30*4,4)</f>
        <v/>
      </c>
      <c r="AE17" s="96">
        <f>IF(KEPUTUSAN!$D17&lt;&gt;"Aktif","Tidak aktif",IF(AC17&gt;25,"Tidak layak: lebih 25 undi",IF(AC17&lt;5,"Tidak layak: kurang 5 undi","LAYAK")))</f>
        <v/>
      </c>
      <c r="AF17" s="97">
        <f>IF(AE17="LAYAK",1+SUMPRODUCT(($AE$6:$AE$19="LAYAK")*($AD$6:$AD$19&gt;AD17)),"")</f>
        <v/>
      </c>
      <c r="AG17" s="152">
        <f>IF(AE17="LAYAK",IF(SUMPRODUCT(($AE$6:$AE$19="LAYAK")*($AD$6:$AD$19=AD17))&gt;1,"SERI: jawatankuasa putuskan",""),"")</f>
        <v/>
      </c>
    </row>
    <row r="18" ht="26" customHeight="1">
      <c r="A18" s="57" t="n">
        <v>13</v>
      </c>
      <c r="B18" s="133">
        <f>KEPUTUSAN!B18</f>
        <v/>
      </c>
      <c r="C18" s="134">
        <f>KEPUTUSAN!C18</f>
        <v/>
      </c>
      <c r="D18" s="135" t="n"/>
      <c r="E18" s="136" t="n"/>
      <c r="F18" s="137" t="n"/>
      <c r="G18" s="138" t="n"/>
      <c r="H18" s="103" t="n"/>
      <c r="I18" s="139" t="n"/>
      <c r="J18" s="140" t="n"/>
      <c r="K18" s="141" t="n"/>
      <c r="L18" s="142" t="n"/>
      <c r="M18" s="143" t="n"/>
      <c r="N18" s="144" t="n"/>
      <c r="O18" s="145" t="n"/>
      <c r="P18" s="146" t="n"/>
      <c r="Q18" s="147" t="n"/>
      <c r="R18" s="148" t="n"/>
      <c r="S18" s="149" t="n"/>
      <c r="T18" s="150" t="n"/>
      <c r="U18" s="151" t="n"/>
      <c r="V18" s="135" t="n"/>
      <c r="W18" s="136" t="n"/>
      <c r="X18" s="137" t="n"/>
      <c r="Y18" s="138" t="n"/>
      <c r="Z18" s="103" t="n"/>
      <c r="AA18" s="139" t="n"/>
      <c r="AB18" s="140" t="n"/>
      <c r="AC18" s="86">
        <f>COUNT(D18:AB18)</f>
        <v/>
      </c>
      <c r="AD18" s="58">
        <f>ROUND(SUM(D18:AB18)/30*4,4)</f>
        <v/>
      </c>
      <c r="AE18" s="96">
        <f>IF(KEPUTUSAN!$D18&lt;&gt;"Aktif","Tidak aktif",IF(AC18&gt;25,"Tidak layak: lebih 25 undi",IF(AC18&lt;5,"Tidak layak: kurang 5 undi","LAYAK")))</f>
        <v/>
      </c>
      <c r="AF18" s="97">
        <f>IF(AE18="LAYAK",1+SUMPRODUCT(($AE$6:$AE$19="LAYAK")*($AD$6:$AD$19&gt;AD18)),"")</f>
        <v/>
      </c>
      <c r="AG18" s="152">
        <f>IF(AE18="LAYAK",IF(SUMPRODUCT(($AE$6:$AE$19="LAYAK")*($AD$6:$AD$19=AD18))&gt;1,"SERI: jawatankuasa putuskan",""),"")</f>
        <v/>
      </c>
    </row>
    <row r="19" ht="26" customHeight="1">
      <c r="A19" s="62" t="n">
        <v>14</v>
      </c>
      <c r="B19" s="133">
        <f>KEPUTUSAN!B19</f>
        <v/>
      </c>
      <c r="C19" s="134">
        <f>KEPUTUSAN!C19</f>
        <v/>
      </c>
      <c r="D19" s="135" t="n"/>
      <c r="E19" s="136" t="n"/>
      <c r="F19" s="137" t="n"/>
      <c r="G19" s="138" t="n"/>
      <c r="H19" s="103" t="n"/>
      <c r="I19" s="139" t="n"/>
      <c r="J19" s="140" t="n"/>
      <c r="K19" s="141" t="n"/>
      <c r="L19" s="142" t="n"/>
      <c r="M19" s="143" t="n"/>
      <c r="N19" s="144" t="n"/>
      <c r="O19" s="145" t="n"/>
      <c r="P19" s="146" t="n"/>
      <c r="Q19" s="147" t="n"/>
      <c r="R19" s="148" t="n"/>
      <c r="S19" s="149" t="n"/>
      <c r="T19" s="150" t="n"/>
      <c r="U19" s="151" t="n"/>
      <c r="V19" s="135" t="n"/>
      <c r="W19" s="136" t="n"/>
      <c r="X19" s="137" t="n"/>
      <c r="Y19" s="138" t="n"/>
      <c r="Z19" s="103" t="n"/>
      <c r="AA19" s="139" t="n"/>
      <c r="AB19" s="140" t="n"/>
      <c r="AC19" s="86">
        <f>COUNT(D19:AB19)</f>
        <v/>
      </c>
      <c r="AD19" s="58">
        <f>ROUND(SUM(D19:AB19)/30*4,4)</f>
        <v/>
      </c>
      <c r="AE19" s="96">
        <f>IF(KEPUTUSAN!$D19&lt;&gt;"Aktif","Tidak aktif",IF(AC19&gt;25,"Tidak layak: lebih 25 undi",IF(AC19&lt;5,"Tidak layak: kurang 5 undi","LAYAK")))</f>
        <v/>
      </c>
      <c r="AF19" s="97">
        <f>IF(AE19="LAYAK",1+SUMPRODUCT(($AE$6:$AE$19="LAYAK")*($AD$6:$AD$19&gt;AD19)),"")</f>
        <v/>
      </c>
      <c r="AG19" s="152">
        <f>IF(AE19="LAYAK",IF(SUMPRODUCT(($AE$6:$AE$19="LAYAK")*($AD$6:$AD$19=AD19))&gt;1,"SERI: jawatankuasa putuskan",""),"")</f>
        <v/>
      </c>
    </row>
    <row r="20" ht="26" customHeight="1">
      <c r="A20" s="115" t="n"/>
      <c r="B20" s="153" t="inlineStr">
        <is>
          <t>Bil undian juri</t>
        </is>
      </c>
      <c r="C20" s="115" t="n"/>
      <c r="D20" s="106">
        <f>COUNT(D6:D19)</f>
        <v/>
      </c>
      <c r="E20" s="106">
        <f>COUNT(E6:E19)</f>
        <v/>
      </c>
      <c r="F20" s="106">
        <f>COUNT(F6:F19)</f>
        <v/>
      </c>
      <c r="G20" s="106">
        <f>COUNT(G6:G19)</f>
        <v/>
      </c>
      <c r="H20" s="106">
        <f>COUNT(H6:H19)</f>
        <v/>
      </c>
      <c r="I20" s="106">
        <f>COUNT(I6:I19)</f>
        <v/>
      </c>
      <c r="J20" s="106">
        <f>COUNT(J6:J19)</f>
        <v/>
      </c>
      <c r="K20" s="106">
        <f>COUNT(K6:K19)</f>
        <v/>
      </c>
      <c r="L20" s="106">
        <f>COUNT(L6:L19)</f>
        <v/>
      </c>
      <c r="M20" s="106">
        <f>COUNT(M6:M19)</f>
        <v/>
      </c>
      <c r="N20" s="106">
        <f>COUNT(N6:N19)</f>
        <v/>
      </c>
      <c r="O20" s="106">
        <f>COUNT(O6:O19)</f>
        <v/>
      </c>
      <c r="P20" s="106">
        <f>COUNT(P6:P19)</f>
        <v/>
      </c>
      <c r="Q20" s="106">
        <f>COUNT(Q6:Q19)</f>
        <v/>
      </c>
      <c r="R20" s="106">
        <f>COUNT(R6:R19)</f>
        <v/>
      </c>
      <c r="S20" s="106">
        <f>COUNT(S6:S19)</f>
        <v/>
      </c>
      <c r="T20" s="106">
        <f>COUNT(T6:T19)</f>
        <v/>
      </c>
      <c r="U20" s="106">
        <f>COUNT(U6:U19)</f>
        <v/>
      </c>
      <c r="V20" s="106">
        <f>COUNT(V6:V19)</f>
        <v/>
      </c>
      <c r="W20" s="106">
        <f>COUNT(W6:W19)</f>
        <v/>
      </c>
      <c r="X20" s="106">
        <f>COUNT(X6:X19)</f>
        <v/>
      </c>
      <c r="Y20" s="106">
        <f>COUNT(Y6:Y19)</f>
        <v/>
      </c>
      <c r="Z20" s="106">
        <f>COUNT(Z6:Z19)</f>
        <v/>
      </c>
      <c r="AA20" s="106">
        <f>COUNT(AA6:AA19)</f>
        <v/>
      </c>
      <c r="AB20" s="106">
        <f>COUNT(AB6:AB19)</f>
        <v/>
      </c>
      <c r="AC20" s="60">
        <f>COUNTIF(D20:AB20,"&gt;0")&amp;" daripada 25 juri mengundi"</f>
        <v/>
      </c>
      <c r="AD20" s="71" t="n"/>
      <c r="AE20" s="71" t="n"/>
    </row>
    <row r="21" ht="26" customHeight="1">
      <c r="A21" s="115" t="n"/>
      <c r="B21" s="153" t="inlineStr">
        <is>
          <t>Jumlah sumbangan juri</t>
        </is>
      </c>
      <c r="C21" s="115" t="n"/>
      <c r="D21" s="154">
        <f>ROUND(SUM(D6:D19)/30*4,2)</f>
        <v/>
      </c>
      <c r="E21" s="154">
        <f>ROUND(SUM(E6:E19)/30*4,2)</f>
        <v/>
      </c>
      <c r="F21" s="154">
        <f>ROUND(SUM(F6:F19)/30*4,2)</f>
        <v/>
      </c>
      <c r="G21" s="154">
        <f>ROUND(SUM(G6:G19)/30*4,2)</f>
        <v/>
      </c>
      <c r="H21" s="154">
        <f>ROUND(SUM(H6:H19)/30*4,2)</f>
        <v/>
      </c>
      <c r="I21" s="154">
        <f>ROUND(SUM(I6:I19)/30*4,2)</f>
        <v/>
      </c>
      <c r="J21" s="154">
        <f>ROUND(SUM(J6:J19)/30*4,2)</f>
        <v/>
      </c>
      <c r="K21" s="154">
        <f>ROUND(SUM(K6:K19)/30*4,2)</f>
        <v/>
      </c>
      <c r="L21" s="154">
        <f>ROUND(SUM(L6:L19)/30*4,2)</f>
        <v/>
      </c>
      <c r="M21" s="154">
        <f>ROUND(SUM(M6:M19)/30*4,2)</f>
        <v/>
      </c>
      <c r="N21" s="154">
        <f>ROUND(SUM(N6:N19)/30*4,2)</f>
        <v/>
      </c>
      <c r="O21" s="154">
        <f>ROUND(SUM(O6:O19)/30*4,2)</f>
        <v/>
      </c>
      <c r="P21" s="154">
        <f>ROUND(SUM(P6:P19)/30*4,2)</f>
        <v/>
      </c>
      <c r="Q21" s="154">
        <f>ROUND(SUM(Q6:Q19)/30*4,2)</f>
        <v/>
      </c>
      <c r="R21" s="154">
        <f>ROUND(SUM(R6:R19)/30*4,2)</f>
        <v/>
      </c>
      <c r="S21" s="154">
        <f>ROUND(SUM(S6:S19)/30*4,2)</f>
        <v/>
      </c>
      <c r="T21" s="154">
        <f>ROUND(SUM(T6:T19)/30*4,2)</f>
        <v/>
      </c>
      <c r="U21" s="154">
        <f>ROUND(SUM(U6:U19)/30*4,2)</f>
        <v/>
      </c>
      <c r="V21" s="154">
        <f>ROUND(SUM(V6:V19)/30*4,2)</f>
        <v/>
      </c>
      <c r="W21" s="154">
        <f>ROUND(SUM(W6:W19)/30*4,2)</f>
        <v/>
      </c>
      <c r="X21" s="154">
        <f>ROUND(SUM(X6:X19)/30*4,2)</f>
        <v/>
      </c>
      <c r="Y21" s="154">
        <f>ROUND(SUM(Y6:Y19)/30*4,2)</f>
        <v/>
      </c>
      <c r="Z21" s="154">
        <f>ROUND(SUM(Z6:Z19)/30*4,2)</f>
        <v/>
      </c>
      <c r="AA21" s="154">
        <f>ROUND(SUM(AA6:AA19)/30*4,2)</f>
        <v/>
      </c>
      <c r="AB21" s="154">
        <f>ROUND(SUM(AB6:AB19)/30*4,2)</f>
        <v/>
      </c>
    </row>
  </sheetData>
  <mergeCells count="3">
    <mergeCell ref="A2:AG2"/>
    <mergeCell ref="A1:AG1"/>
    <mergeCell ref="AC20:AE20"/>
  </mergeCells>
  <conditionalFormatting sqref="D6:AB19">
    <cfRule type="expression" priority="1" dxfId="6" stopIfTrue="0">
      <formula>AND(ISNUMBER(D6),OR(D6&gt;30,D6&lt;3))</formula>
    </cfRule>
  </conditionalFormatting>
  <conditionalFormatting sqref="AE6:AE19">
    <cfRule type="expression" priority="2" dxfId="3" stopIfTrue="0">
      <formula>$AE6="LAYAK"</formula>
    </cfRule>
    <cfRule type="expression" priority="3" dxfId="7" stopIfTrue="0">
      <formula>LEFT($AE6,5)="Tidak"</formula>
    </cfRule>
  </conditionalFormatting>
  <conditionalFormatting sqref="AF6:AF19">
    <cfRule type="expression" priority="4" dxfId="0" stopIfTrue="0">
      <formula>AND(ISNUMBER($AF6),$AF6=1)</formula>
    </cfRule>
  </conditionalFormatting>
  <dataValidations count="1">
    <dataValidation sqref="D6:AB19" showDropDown="0" showInputMessage="1" showErrorMessage="1" allowBlank="1" errorTitle="Markah tidak sah" error="Pilih JUMLAH tiga aspek (3 hingga 30) daripada dropdown." promptTitle="Pilih markah" prompt="Klik anak panah dan pilih 3 hingga 30." type="list" errorStyle="stop">
      <formula1>"3,4,5,6,7,8,9,10,11,12,13,14,15,16,17,18,19,20,21,22,23,24,25,26,27,28,29,30"</formula1>
    </dataValidation>
  </dataValidation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2563EB"/>
    <outlinePr summaryBelow="1" summaryRight="1"/>
    <pageSetUpPr fitToPage="1"/>
  </sheetPr>
  <dimension ref="A1:N19"/>
  <sheetViews>
    <sheetView showGridLines="0" workbookViewId="0">
      <selection activeCell="A1" sqref="A1"/>
    </sheetView>
  </sheetViews>
  <sheetFormatPr baseColWidth="8" defaultRowHeight="15"/>
  <cols>
    <col width="24" customWidth="1" min="1" max="1"/>
    <col width="11"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2" customWidth="1" min="13" max="13"/>
    <col width="38" customWidth="1" min="14" max="14"/>
  </cols>
  <sheetData>
    <row r="1" ht="32" customHeight="1">
      <c r="A1" s="1" t="inlineStr">
        <is>
          <t>PECAH SERI  |  pengiraan kedudukan hakim</t>
        </is>
      </c>
      <c r="B1" s="2" t="n"/>
      <c r="C1" s="2" t="n"/>
      <c r="D1" s="2" t="n"/>
      <c r="E1" s="2" t="n"/>
      <c r="F1" s="2" t="n"/>
      <c r="G1" s="2" t="n"/>
      <c r="H1" s="2" t="n"/>
      <c r="I1" s="2" t="n"/>
      <c r="J1" s="2" t="n"/>
      <c r="K1" s="2" t="n"/>
      <c r="L1" s="2" t="n"/>
      <c r="M1" s="2" t="n"/>
      <c r="N1" s="2" t="n"/>
    </row>
    <row r="2" ht="24" customHeight="1">
      <c r="A2" s="3" t="inlineStr">
        <is>
          <t>Tab pengiraan, jangan ubah. Kunci akhir = markah akhir x 100. Lajur komponen = jumlah tiga hakim ikut susunan pecah seri.</t>
        </is>
      </c>
      <c r="B2" s="4" t="n"/>
      <c r="C2" s="4" t="n"/>
      <c r="D2" s="4" t="n"/>
      <c r="E2" s="4" t="n"/>
      <c r="F2" s="4" t="n"/>
      <c r="G2" s="4" t="n"/>
      <c r="H2" s="4" t="n"/>
      <c r="I2" s="4" t="n"/>
      <c r="J2" s="4" t="n"/>
      <c r="K2" s="4" t="n"/>
      <c r="L2" s="4" t="n"/>
      <c r="M2" s="4" t="n"/>
      <c r="N2" s="4" t="n"/>
    </row>
    <row r="5" ht="38" customHeight="1">
      <c r="A5" s="50" t="inlineStr">
        <is>
          <t>Negeri</t>
        </is>
      </c>
      <c r="B5" s="50" t="inlineStr">
        <is>
          <t>Layak (1/0)</t>
        </is>
      </c>
      <c r="C5" s="77" t="inlineStr">
        <is>
          <t>Kunci akhir</t>
        </is>
      </c>
      <c r="D5" s="75" t="inlineStr">
        <is>
          <t>K1 Kreativiti</t>
        </is>
      </c>
      <c r="E5" s="74" t="inlineStr">
        <is>
          <t>K2 Kandungan</t>
        </is>
      </c>
      <c r="F5" s="76" t="inlineStr">
        <is>
          <t>K3 Canva</t>
        </is>
      </c>
      <c r="G5" s="77" t="inlineStr">
        <is>
          <t>K4 AI</t>
        </is>
      </c>
      <c r="H5" s="78" t="inlineStr">
        <is>
          <t>K5 CapCut</t>
        </is>
      </c>
      <c r="I5" s="81" t="inlineStr">
        <is>
          <t>K6 Audio</t>
        </is>
      </c>
      <c r="J5" s="116" t="inlineStr">
        <is>
          <t>K7 Persembahan</t>
        </is>
      </c>
      <c r="K5" s="79" t="inlineStr">
        <is>
          <t>K8 Etika</t>
        </is>
      </c>
      <c r="L5" s="117" t="inlineStr">
        <is>
          <t>K9 AURORA</t>
        </is>
      </c>
      <c r="M5" s="81" t="inlineStr">
        <is>
          <t>KEDUDUKAN</t>
        </is>
      </c>
      <c r="N5" s="82" t="inlineStr">
        <is>
          <t>Catatan</t>
        </is>
      </c>
    </row>
    <row r="6" ht="26" customHeight="1">
      <c r="A6" s="83">
        <f>KEPUTUSAN!B6</f>
        <v/>
      </c>
      <c r="B6" s="155">
        <f>IF(AND(KEPUTUSAN!D6="Aktif",KEPUTUSAN!H6=3),1,0)</f>
        <v/>
      </c>
      <c r="C6" s="89">
        <f>IF(B6=1,ROUND(KEPUTUSAN!I6*100,0),0)</f>
        <v/>
      </c>
      <c r="D6" s="87">
        <f>IF($B6=1,HAKIM_H1!B6+HAKIM_H2!B6+HAKIM_H3!B6,0)</f>
        <v/>
      </c>
      <c r="E6" s="86">
        <f>IF($B6=1,HAKIM_H1!C6+HAKIM_H2!C6+HAKIM_H3!C6,0)</f>
        <v/>
      </c>
      <c r="F6" s="88">
        <f>IF($B6=1,HAKIM_H1!D6+HAKIM_H2!D6+HAKIM_H3!D6,0)</f>
        <v/>
      </c>
      <c r="G6" s="89">
        <f>IF($B6=1,HAKIM_H1!E6+HAKIM_H2!E6+HAKIM_H3!E6,0)</f>
        <v/>
      </c>
      <c r="H6" s="156">
        <f>IF($B6=1,HAKIM_H1!F6+HAKIM_H2!F6+HAKIM_H3!F6,0)</f>
        <v/>
      </c>
      <c r="I6" s="157">
        <f>IF($B6=1,HAKIM_H1!G6+HAKIM_H2!G6+HAKIM_H3!G6,0)</f>
        <v/>
      </c>
      <c r="J6" s="158">
        <f>IF($B6=1,HAKIM_H1!I6+HAKIM_H2!I6+HAKIM_H3!I6,0)</f>
        <v/>
      </c>
      <c r="K6" s="159">
        <f>IF($B6=1,HAKIM_H1!H6+HAKIM_H2!H6+HAKIM_H3!H6,0)</f>
        <v/>
      </c>
      <c r="L6" s="160">
        <f>IF($B6=1,HAKIM_H1!J6+HAKIM_H2!J6+HAKIM_H3!J6,0)</f>
        <v/>
      </c>
      <c r="M6" s="94">
        <f>IF(B6=1,1+SUMPRODUCT($B$6:$B$19*(($C$6:$C$19&gt;C6)+($C$6:$C$19=C6)*(($D$6:$D$19&gt;D6)+($D$6:$D$19=D6)*(($E$6:$E$19&gt;E6)+($E$6:$E$19=E6)*(($F$6:$F$19&gt;F6)+($F$6:$F$19=F6)*(($G$6:$G$19&gt;G6)+($G$6:$G$19=G6)*(($H$6:$H$19&gt;H6)+($H$6:$H$19=H6)*(($I$6:$I$19&gt;I6)+($I$6:$I$19=I6)*(($J$6:$J$19&gt;J6)+($J$6:$J$19=J6)*(($K$6:$K$19&gt;K6)+($K$6:$K$19=K6)*($L$6:$L$19&gt;L6))))))))))),"")</f>
        <v/>
      </c>
      <c r="N6" s="161">
        <f>IF(B6=1,IF(SUMPRODUCT($B$6:$B$19*($C$6:$C$19=C6)*($D$6:$D$19=D6)*($E$6:$E$19=E6)*($F$6:$F$19=F6)*($G$6:$G$19=G6)*($H$6:$H$19=H6)*($I$6:$I$19=I6)*($J$6:$J$19=J6)*($K$6:$K$19=K6)*($L$6:$L$19=L6))&gt;1,"SERI PENUH: panel berbincang dan rekod keputusan",""),"")</f>
        <v/>
      </c>
    </row>
    <row r="7" ht="26" customHeight="1">
      <c r="A7" s="83">
        <f>KEPUTUSAN!B7</f>
        <v/>
      </c>
      <c r="B7" s="155">
        <f>IF(AND(KEPUTUSAN!D7="Aktif",KEPUTUSAN!H7=3),1,0)</f>
        <v/>
      </c>
      <c r="C7" s="89">
        <f>IF(B7=1,ROUND(KEPUTUSAN!I7*100,0),0)</f>
        <v/>
      </c>
      <c r="D7" s="87">
        <f>IF($B7=1,HAKIM_H1!B7+HAKIM_H2!B7+HAKIM_H3!B7,0)</f>
        <v/>
      </c>
      <c r="E7" s="86">
        <f>IF($B7=1,HAKIM_H1!C7+HAKIM_H2!C7+HAKIM_H3!C7,0)</f>
        <v/>
      </c>
      <c r="F7" s="88">
        <f>IF($B7=1,HAKIM_H1!D7+HAKIM_H2!D7+HAKIM_H3!D7,0)</f>
        <v/>
      </c>
      <c r="G7" s="89">
        <f>IF($B7=1,HAKIM_H1!E7+HAKIM_H2!E7+HAKIM_H3!E7,0)</f>
        <v/>
      </c>
      <c r="H7" s="156">
        <f>IF($B7=1,HAKIM_H1!F7+HAKIM_H2!F7+HAKIM_H3!F7,0)</f>
        <v/>
      </c>
      <c r="I7" s="157">
        <f>IF($B7=1,HAKIM_H1!G7+HAKIM_H2!G7+HAKIM_H3!G7,0)</f>
        <v/>
      </c>
      <c r="J7" s="158">
        <f>IF($B7=1,HAKIM_H1!I7+HAKIM_H2!I7+HAKIM_H3!I7,0)</f>
        <v/>
      </c>
      <c r="K7" s="159">
        <f>IF($B7=1,HAKIM_H1!H7+HAKIM_H2!H7+HAKIM_H3!H7,0)</f>
        <v/>
      </c>
      <c r="L7" s="160">
        <f>IF($B7=1,HAKIM_H1!J7+HAKIM_H2!J7+HAKIM_H3!J7,0)</f>
        <v/>
      </c>
      <c r="M7" s="94">
        <f>IF(B7=1,1+SUMPRODUCT($B$6:$B$19*(($C$6:$C$19&gt;C7)+($C$6:$C$19=C7)*(($D$6:$D$19&gt;D7)+($D$6:$D$19=D7)*(($E$6:$E$19&gt;E7)+($E$6:$E$19=E7)*(($F$6:$F$19&gt;F7)+($F$6:$F$19=F7)*(($G$6:$G$19&gt;G7)+($G$6:$G$19=G7)*(($H$6:$H$19&gt;H7)+($H$6:$H$19=H7)*(($I$6:$I$19&gt;I7)+($I$6:$I$19=I7)*(($J$6:$J$19&gt;J7)+($J$6:$J$19=J7)*(($K$6:$K$19&gt;K7)+($K$6:$K$19=K7)*($L$6:$L$19&gt;L7))))))))))),"")</f>
        <v/>
      </c>
      <c r="N7" s="161">
        <f>IF(B7=1,IF(SUMPRODUCT($B$6:$B$19*($C$6:$C$19=C7)*($D$6:$D$19=D7)*($E$6:$E$19=E7)*($F$6:$F$19=F7)*($G$6:$G$19=G7)*($H$6:$H$19=H7)*($I$6:$I$19=I7)*($J$6:$J$19=J7)*($K$6:$K$19=K7)*($L$6:$L$19=L7))&gt;1,"SERI PENUH: panel berbincang dan rekod keputusan",""),"")</f>
        <v/>
      </c>
    </row>
    <row r="8" ht="26" customHeight="1">
      <c r="A8" s="83">
        <f>KEPUTUSAN!B8</f>
        <v/>
      </c>
      <c r="B8" s="155">
        <f>IF(AND(KEPUTUSAN!D8="Aktif",KEPUTUSAN!H8=3),1,0)</f>
        <v/>
      </c>
      <c r="C8" s="89">
        <f>IF(B8=1,ROUND(KEPUTUSAN!I8*100,0),0)</f>
        <v/>
      </c>
      <c r="D8" s="87">
        <f>IF($B8=1,HAKIM_H1!B8+HAKIM_H2!B8+HAKIM_H3!B8,0)</f>
        <v/>
      </c>
      <c r="E8" s="86">
        <f>IF($B8=1,HAKIM_H1!C8+HAKIM_H2!C8+HAKIM_H3!C8,0)</f>
        <v/>
      </c>
      <c r="F8" s="88">
        <f>IF($B8=1,HAKIM_H1!D8+HAKIM_H2!D8+HAKIM_H3!D8,0)</f>
        <v/>
      </c>
      <c r="G8" s="89">
        <f>IF($B8=1,HAKIM_H1!E8+HAKIM_H2!E8+HAKIM_H3!E8,0)</f>
        <v/>
      </c>
      <c r="H8" s="156">
        <f>IF($B8=1,HAKIM_H1!F8+HAKIM_H2!F8+HAKIM_H3!F8,0)</f>
        <v/>
      </c>
      <c r="I8" s="157">
        <f>IF($B8=1,HAKIM_H1!G8+HAKIM_H2!G8+HAKIM_H3!G8,0)</f>
        <v/>
      </c>
      <c r="J8" s="158">
        <f>IF($B8=1,HAKIM_H1!I8+HAKIM_H2!I8+HAKIM_H3!I8,0)</f>
        <v/>
      </c>
      <c r="K8" s="159">
        <f>IF($B8=1,HAKIM_H1!H8+HAKIM_H2!H8+HAKIM_H3!H8,0)</f>
        <v/>
      </c>
      <c r="L8" s="160">
        <f>IF($B8=1,HAKIM_H1!J8+HAKIM_H2!J8+HAKIM_H3!J8,0)</f>
        <v/>
      </c>
      <c r="M8" s="94">
        <f>IF(B8=1,1+SUMPRODUCT($B$6:$B$19*(($C$6:$C$19&gt;C8)+($C$6:$C$19=C8)*(($D$6:$D$19&gt;D8)+($D$6:$D$19=D8)*(($E$6:$E$19&gt;E8)+($E$6:$E$19=E8)*(($F$6:$F$19&gt;F8)+($F$6:$F$19=F8)*(($G$6:$G$19&gt;G8)+($G$6:$G$19=G8)*(($H$6:$H$19&gt;H8)+($H$6:$H$19=H8)*(($I$6:$I$19&gt;I8)+($I$6:$I$19=I8)*(($J$6:$J$19&gt;J8)+($J$6:$J$19=J8)*(($K$6:$K$19&gt;K8)+($K$6:$K$19=K8)*($L$6:$L$19&gt;L8))))))))))),"")</f>
        <v/>
      </c>
      <c r="N8" s="161">
        <f>IF(B8=1,IF(SUMPRODUCT($B$6:$B$19*($C$6:$C$19=C8)*($D$6:$D$19=D8)*($E$6:$E$19=E8)*($F$6:$F$19=F8)*($G$6:$G$19=G8)*($H$6:$H$19=H8)*($I$6:$I$19=I8)*($J$6:$J$19=J8)*($K$6:$K$19=K8)*($L$6:$L$19=L8))&gt;1,"SERI PENUH: panel berbincang dan rekod keputusan",""),"")</f>
        <v/>
      </c>
    </row>
    <row r="9" ht="26" customHeight="1">
      <c r="A9" s="83">
        <f>KEPUTUSAN!B9</f>
        <v/>
      </c>
      <c r="B9" s="155">
        <f>IF(AND(KEPUTUSAN!D9="Aktif",KEPUTUSAN!H9=3),1,0)</f>
        <v/>
      </c>
      <c r="C9" s="89">
        <f>IF(B9=1,ROUND(KEPUTUSAN!I9*100,0),0)</f>
        <v/>
      </c>
      <c r="D9" s="87">
        <f>IF($B9=1,HAKIM_H1!B9+HAKIM_H2!B9+HAKIM_H3!B9,0)</f>
        <v/>
      </c>
      <c r="E9" s="86">
        <f>IF($B9=1,HAKIM_H1!C9+HAKIM_H2!C9+HAKIM_H3!C9,0)</f>
        <v/>
      </c>
      <c r="F9" s="88">
        <f>IF($B9=1,HAKIM_H1!D9+HAKIM_H2!D9+HAKIM_H3!D9,0)</f>
        <v/>
      </c>
      <c r="G9" s="89">
        <f>IF($B9=1,HAKIM_H1!E9+HAKIM_H2!E9+HAKIM_H3!E9,0)</f>
        <v/>
      </c>
      <c r="H9" s="156">
        <f>IF($B9=1,HAKIM_H1!F9+HAKIM_H2!F9+HAKIM_H3!F9,0)</f>
        <v/>
      </c>
      <c r="I9" s="157">
        <f>IF($B9=1,HAKIM_H1!G9+HAKIM_H2!G9+HAKIM_H3!G9,0)</f>
        <v/>
      </c>
      <c r="J9" s="158">
        <f>IF($B9=1,HAKIM_H1!I9+HAKIM_H2!I9+HAKIM_H3!I9,0)</f>
        <v/>
      </c>
      <c r="K9" s="159">
        <f>IF($B9=1,HAKIM_H1!H9+HAKIM_H2!H9+HAKIM_H3!H9,0)</f>
        <v/>
      </c>
      <c r="L9" s="160">
        <f>IF($B9=1,HAKIM_H1!J9+HAKIM_H2!J9+HAKIM_H3!J9,0)</f>
        <v/>
      </c>
      <c r="M9" s="94">
        <f>IF(B9=1,1+SUMPRODUCT($B$6:$B$19*(($C$6:$C$19&gt;C9)+($C$6:$C$19=C9)*(($D$6:$D$19&gt;D9)+($D$6:$D$19=D9)*(($E$6:$E$19&gt;E9)+($E$6:$E$19=E9)*(($F$6:$F$19&gt;F9)+($F$6:$F$19=F9)*(($G$6:$G$19&gt;G9)+($G$6:$G$19=G9)*(($H$6:$H$19&gt;H9)+($H$6:$H$19=H9)*(($I$6:$I$19&gt;I9)+($I$6:$I$19=I9)*(($J$6:$J$19&gt;J9)+($J$6:$J$19=J9)*(($K$6:$K$19&gt;K9)+($K$6:$K$19=K9)*($L$6:$L$19&gt;L9))))))))))),"")</f>
        <v/>
      </c>
      <c r="N9" s="161">
        <f>IF(B9=1,IF(SUMPRODUCT($B$6:$B$19*($C$6:$C$19=C9)*($D$6:$D$19=D9)*($E$6:$E$19=E9)*($F$6:$F$19=F9)*($G$6:$G$19=G9)*($H$6:$H$19=H9)*($I$6:$I$19=I9)*($J$6:$J$19=J9)*($K$6:$K$19=K9)*($L$6:$L$19=L9))&gt;1,"SERI PENUH: panel berbincang dan rekod keputusan",""),"")</f>
        <v/>
      </c>
    </row>
    <row r="10" ht="26" customHeight="1">
      <c r="A10" s="83">
        <f>KEPUTUSAN!B10</f>
        <v/>
      </c>
      <c r="B10" s="155">
        <f>IF(AND(KEPUTUSAN!D10="Aktif",KEPUTUSAN!H10=3),1,0)</f>
        <v/>
      </c>
      <c r="C10" s="89">
        <f>IF(B10=1,ROUND(KEPUTUSAN!I10*100,0),0)</f>
        <v/>
      </c>
      <c r="D10" s="87">
        <f>IF($B10=1,HAKIM_H1!B10+HAKIM_H2!B10+HAKIM_H3!B10,0)</f>
        <v/>
      </c>
      <c r="E10" s="86">
        <f>IF($B10=1,HAKIM_H1!C10+HAKIM_H2!C10+HAKIM_H3!C10,0)</f>
        <v/>
      </c>
      <c r="F10" s="88">
        <f>IF($B10=1,HAKIM_H1!D10+HAKIM_H2!D10+HAKIM_H3!D10,0)</f>
        <v/>
      </c>
      <c r="G10" s="89">
        <f>IF($B10=1,HAKIM_H1!E10+HAKIM_H2!E10+HAKIM_H3!E10,0)</f>
        <v/>
      </c>
      <c r="H10" s="156">
        <f>IF($B10=1,HAKIM_H1!F10+HAKIM_H2!F10+HAKIM_H3!F10,0)</f>
        <v/>
      </c>
      <c r="I10" s="157">
        <f>IF($B10=1,HAKIM_H1!G10+HAKIM_H2!G10+HAKIM_H3!G10,0)</f>
        <v/>
      </c>
      <c r="J10" s="158">
        <f>IF($B10=1,HAKIM_H1!I10+HAKIM_H2!I10+HAKIM_H3!I10,0)</f>
        <v/>
      </c>
      <c r="K10" s="159">
        <f>IF($B10=1,HAKIM_H1!H10+HAKIM_H2!H10+HAKIM_H3!H10,0)</f>
        <v/>
      </c>
      <c r="L10" s="160">
        <f>IF($B10=1,HAKIM_H1!J10+HAKIM_H2!J10+HAKIM_H3!J10,0)</f>
        <v/>
      </c>
      <c r="M10" s="94">
        <f>IF(B10=1,1+SUMPRODUCT($B$6:$B$19*(($C$6:$C$19&gt;C10)+($C$6:$C$19=C10)*(($D$6:$D$19&gt;D10)+($D$6:$D$19=D10)*(($E$6:$E$19&gt;E10)+($E$6:$E$19=E10)*(($F$6:$F$19&gt;F10)+($F$6:$F$19=F10)*(($G$6:$G$19&gt;G10)+($G$6:$G$19=G10)*(($H$6:$H$19&gt;H10)+($H$6:$H$19=H10)*(($I$6:$I$19&gt;I10)+($I$6:$I$19=I10)*(($J$6:$J$19&gt;J10)+($J$6:$J$19=J10)*(($K$6:$K$19&gt;K10)+($K$6:$K$19=K10)*($L$6:$L$19&gt;L10))))))))))),"")</f>
        <v/>
      </c>
      <c r="N10" s="161">
        <f>IF(B10=1,IF(SUMPRODUCT($B$6:$B$19*($C$6:$C$19=C10)*($D$6:$D$19=D10)*($E$6:$E$19=E10)*($F$6:$F$19=F10)*($G$6:$G$19=G10)*($H$6:$H$19=H10)*($I$6:$I$19=I10)*($J$6:$J$19=J10)*($K$6:$K$19=K10)*($L$6:$L$19=L10))&gt;1,"SERI PENUH: panel berbincang dan rekod keputusan",""),"")</f>
        <v/>
      </c>
    </row>
    <row r="11" ht="26" customHeight="1">
      <c r="A11" s="83">
        <f>KEPUTUSAN!B11</f>
        <v/>
      </c>
      <c r="B11" s="155">
        <f>IF(AND(KEPUTUSAN!D11="Aktif",KEPUTUSAN!H11=3),1,0)</f>
        <v/>
      </c>
      <c r="C11" s="89">
        <f>IF(B11=1,ROUND(KEPUTUSAN!I11*100,0),0)</f>
        <v/>
      </c>
      <c r="D11" s="87">
        <f>IF($B11=1,HAKIM_H1!B11+HAKIM_H2!B11+HAKIM_H3!B11,0)</f>
        <v/>
      </c>
      <c r="E11" s="86">
        <f>IF($B11=1,HAKIM_H1!C11+HAKIM_H2!C11+HAKIM_H3!C11,0)</f>
        <v/>
      </c>
      <c r="F11" s="88">
        <f>IF($B11=1,HAKIM_H1!D11+HAKIM_H2!D11+HAKIM_H3!D11,0)</f>
        <v/>
      </c>
      <c r="G11" s="89">
        <f>IF($B11=1,HAKIM_H1!E11+HAKIM_H2!E11+HAKIM_H3!E11,0)</f>
        <v/>
      </c>
      <c r="H11" s="156">
        <f>IF($B11=1,HAKIM_H1!F11+HAKIM_H2!F11+HAKIM_H3!F11,0)</f>
        <v/>
      </c>
      <c r="I11" s="157">
        <f>IF($B11=1,HAKIM_H1!G11+HAKIM_H2!G11+HAKIM_H3!G11,0)</f>
        <v/>
      </c>
      <c r="J11" s="158">
        <f>IF($B11=1,HAKIM_H1!I11+HAKIM_H2!I11+HAKIM_H3!I11,0)</f>
        <v/>
      </c>
      <c r="K11" s="159">
        <f>IF($B11=1,HAKIM_H1!H11+HAKIM_H2!H11+HAKIM_H3!H11,0)</f>
        <v/>
      </c>
      <c r="L11" s="160">
        <f>IF($B11=1,HAKIM_H1!J11+HAKIM_H2!J11+HAKIM_H3!J11,0)</f>
        <v/>
      </c>
      <c r="M11" s="94">
        <f>IF(B11=1,1+SUMPRODUCT($B$6:$B$19*(($C$6:$C$19&gt;C11)+($C$6:$C$19=C11)*(($D$6:$D$19&gt;D11)+($D$6:$D$19=D11)*(($E$6:$E$19&gt;E11)+($E$6:$E$19=E11)*(($F$6:$F$19&gt;F11)+($F$6:$F$19=F11)*(($G$6:$G$19&gt;G11)+($G$6:$G$19=G11)*(($H$6:$H$19&gt;H11)+($H$6:$H$19=H11)*(($I$6:$I$19&gt;I11)+($I$6:$I$19=I11)*(($J$6:$J$19&gt;J11)+($J$6:$J$19=J11)*(($K$6:$K$19&gt;K11)+($K$6:$K$19=K11)*($L$6:$L$19&gt;L11))))))))))),"")</f>
        <v/>
      </c>
      <c r="N11" s="161">
        <f>IF(B11=1,IF(SUMPRODUCT($B$6:$B$19*($C$6:$C$19=C11)*($D$6:$D$19=D11)*($E$6:$E$19=E11)*($F$6:$F$19=F11)*($G$6:$G$19=G11)*($H$6:$H$19=H11)*($I$6:$I$19=I11)*($J$6:$J$19=J11)*($K$6:$K$19=K11)*($L$6:$L$19=L11))&gt;1,"SERI PENUH: panel berbincang dan rekod keputusan",""),"")</f>
        <v/>
      </c>
    </row>
    <row r="12" ht="26" customHeight="1">
      <c r="A12" s="83">
        <f>KEPUTUSAN!B12</f>
        <v/>
      </c>
      <c r="B12" s="155">
        <f>IF(AND(KEPUTUSAN!D12="Aktif",KEPUTUSAN!H12=3),1,0)</f>
        <v/>
      </c>
      <c r="C12" s="89">
        <f>IF(B12=1,ROUND(KEPUTUSAN!I12*100,0),0)</f>
        <v/>
      </c>
      <c r="D12" s="87">
        <f>IF($B12=1,HAKIM_H1!B12+HAKIM_H2!B12+HAKIM_H3!B12,0)</f>
        <v/>
      </c>
      <c r="E12" s="86">
        <f>IF($B12=1,HAKIM_H1!C12+HAKIM_H2!C12+HAKIM_H3!C12,0)</f>
        <v/>
      </c>
      <c r="F12" s="88">
        <f>IF($B12=1,HAKIM_H1!D12+HAKIM_H2!D12+HAKIM_H3!D12,0)</f>
        <v/>
      </c>
      <c r="G12" s="89">
        <f>IF($B12=1,HAKIM_H1!E12+HAKIM_H2!E12+HAKIM_H3!E12,0)</f>
        <v/>
      </c>
      <c r="H12" s="156">
        <f>IF($B12=1,HAKIM_H1!F12+HAKIM_H2!F12+HAKIM_H3!F12,0)</f>
        <v/>
      </c>
      <c r="I12" s="157">
        <f>IF($B12=1,HAKIM_H1!G12+HAKIM_H2!G12+HAKIM_H3!G12,0)</f>
        <v/>
      </c>
      <c r="J12" s="158">
        <f>IF($B12=1,HAKIM_H1!I12+HAKIM_H2!I12+HAKIM_H3!I12,0)</f>
        <v/>
      </c>
      <c r="K12" s="159">
        <f>IF($B12=1,HAKIM_H1!H12+HAKIM_H2!H12+HAKIM_H3!H12,0)</f>
        <v/>
      </c>
      <c r="L12" s="160">
        <f>IF($B12=1,HAKIM_H1!J12+HAKIM_H2!J12+HAKIM_H3!J12,0)</f>
        <v/>
      </c>
      <c r="M12" s="94">
        <f>IF(B12=1,1+SUMPRODUCT($B$6:$B$19*(($C$6:$C$19&gt;C12)+($C$6:$C$19=C12)*(($D$6:$D$19&gt;D12)+($D$6:$D$19=D12)*(($E$6:$E$19&gt;E12)+($E$6:$E$19=E12)*(($F$6:$F$19&gt;F12)+($F$6:$F$19=F12)*(($G$6:$G$19&gt;G12)+($G$6:$G$19=G12)*(($H$6:$H$19&gt;H12)+($H$6:$H$19=H12)*(($I$6:$I$19&gt;I12)+($I$6:$I$19=I12)*(($J$6:$J$19&gt;J12)+($J$6:$J$19=J12)*(($K$6:$K$19&gt;K12)+($K$6:$K$19=K12)*($L$6:$L$19&gt;L12))))))))))),"")</f>
        <v/>
      </c>
      <c r="N12" s="161">
        <f>IF(B12=1,IF(SUMPRODUCT($B$6:$B$19*($C$6:$C$19=C12)*($D$6:$D$19=D12)*($E$6:$E$19=E12)*($F$6:$F$19=F12)*($G$6:$G$19=G12)*($H$6:$H$19=H12)*($I$6:$I$19=I12)*($J$6:$J$19=J12)*($K$6:$K$19=K12)*($L$6:$L$19=L12))&gt;1,"SERI PENUH: panel berbincang dan rekod keputusan",""),"")</f>
        <v/>
      </c>
    </row>
    <row r="13" ht="26" customHeight="1">
      <c r="A13" s="83">
        <f>KEPUTUSAN!B13</f>
        <v/>
      </c>
      <c r="B13" s="155">
        <f>IF(AND(KEPUTUSAN!D13="Aktif",KEPUTUSAN!H13=3),1,0)</f>
        <v/>
      </c>
      <c r="C13" s="89">
        <f>IF(B13=1,ROUND(KEPUTUSAN!I13*100,0),0)</f>
        <v/>
      </c>
      <c r="D13" s="87">
        <f>IF($B13=1,HAKIM_H1!B13+HAKIM_H2!B13+HAKIM_H3!B13,0)</f>
        <v/>
      </c>
      <c r="E13" s="86">
        <f>IF($B13=1,HAKIM_H1!C13+HAKIM_H2!C13+HAKIM_H3!C13,0)</f>
        <v/>
      </c>
      <c r="F13" s="88">
        <f>IF($B13=1,HAKIM_H1!D13+HAKIM_H2!D13+HAKIM_H3!D13,0)</f>
        <v/>
      </c>
      <c r="G13" s="89">
        <f>IF($B13=1,HAKIM_H1!E13+HAKIM_H2!E13+HAKIM_H3!E13,0)</f>
        <v/>
      </c>
      <c r="H13" s="156">
        <f>IF($B13=1,HAKIM_H1!F13+HAKIM_H2!F13+HAKIM_H3!F13,0)</f>
        <v/>
      </c>
      <c r="I13" s="157">
        <f>IF($B13=1,HAKIM_H1!G13+HAKIM_H2!G13+HAKIM_H3!G13,0)</f>
        <v/>
      </c>
      <c r="J13" s="158">
        <f>IF($B13=1,HAKIM_H1!I13+HAKIM_H2!I13+HAKIM_H3!I13,0)</f>
        <v/>
      </c>
      <c r="K13" s="159">
        <f>IF($B13=1,HAKIM_H1!H13+HAKIM_H2!H13+HAKIM_H3!H13,0)</f>
        <v/>
      </c>
      <c r="L13" s="160">
        <f>IF($B13=1,HAKIM_H1!J13+HAKIM_H2!J13+HAKIM_H3!J13,0)</f>
        <v/>
      </c>
      <c r="M13" s="94">
        <f>IF(B13=1,1+SUMPRODUCT($B$6:$B$19*(($C$6:$C$19&gt;C13)+($C$6:$C$19=C13)*(($D$6:$D$19&gt;D13)+($D$6:$D$19=D13)*(($E$6:$E$19&gt;E13)+($E$6:$E$19=E13)*(($F$6:$F$19&gt;F13)+($F$6:$F$19=F13)*(($G$6:$G$19&gt;G13)+($G$6:$G$19=G13)*(($H$6:$H$19&gt;H13)+($H$6:$H$19=H13)*(($I$6:$I$19&gt;I13)+($I$6:$I$19=I13)*(($J$6:$J$19&gt;J13)+($J$6:$J$19=J13)*(($K$6:$K$19&gt;K13)+($K$6:$K$19=K13)*($L$6:$L$19&gt;L13))))))))))),"")</f>
        <v/>
      </c>
      <c r="N13" s="161">
        <f>IF(B13=1,IF(SUMPRODUCT($B$6:$B$19*($C$6:$C$19=C13)*($D$6:$D$19=D13)*($E$6:$E$19=E13)*($F$6:$F$19=F13)*($G$6:$G$19=G13)*($H$6:$H$19=H13)*($I$6:$I$19=I13)*($J$6:$J$19=J13)*($K$6:$K$19=K13)*($L$6:$L$19=L13))&gt;1,"SERI PENUH: panel berbincang dan rekod keputusan",""),"")</f>
        <v/>
      </c>
    </row>
    <row r="14" ht="26" customHeight="1">
      <c r="A14" s="83">
        <f>KEPUTUSAN!B14</f>
        <v/>
      </c>
      <c r="B14" s="155">
        <f>IF(AND(KEPUTUSAN!D14="Aktif",KEPUTUSAN!H14=3),1,0)</f>
        <v/>
      </c>
      <c r="C14" s="89">
        <f>IF(B14=1,ROUND(KEPUTUSAN!I14*100,0),0)</f>
        <v/>
      </c>
      <c r="D14" s="87">
        <f>IF($B14=1,HAKIM_H1!B14+HAKIM_H2!B14+HAKIM_H3!B14,0)</f>
        <v/>
      </c>
      <c r="E14" s="86">
        <f>IF($B14=1,HAKIM_H1!C14+HAKIM_H2!C14+HAKIM_H3!C14,0)</f>
        <v/>
      </c>
      <c r="F14" s="88">
        <f>IF($B14=1,HAKIM_H1!D14+HAKIM_H2!D14+HAKIM_H3!D14,0)</f>
        <v/>
      </c>
      <c r="G14" s="89">
        <f>IF($B14=1,HAKIM_H1!E14+HAKIM_H2!E14+HAKIM_H3!E14,0)</f>
        <v/>
      </c>
      <c r="H14" s="156">
        <f>IF($B14=1,HAKIM_H1!F14+HAKIM_H2!F14+HAKIM_H3!F14,0)</f>
        <v/>
      </c>
      <c r="I14" s="157">
        <f>IF($B14=1,HAKIM_H1!G14+HAKIM_H2!G14+HAKIM_H3!G14,0)</f>
        <v/>
      </c>
      <c r="J14" s="158">
        <f>IF($B14=1,HAKIM_H1!I14+HAKIM_H2!I14+HAKIM_H3!I14,0)</f>
        <v/>
      </c>
      <c r="K14" s="159">
        <f>IF($B14=1,HAKIM_H1!H14+HAKIM_H2!H14+HAKIM_H3!H14,0)</f>
        <v/>
      </c>
      <c r="L14" s="160">
        <f>IF($B14=1,HAKIM_H1!J14+HAKIM_H2!J14+HAKIM_H3!J14,0)</f>
        <v/>
      </c>
      <c r="M14" s="94">
        <f>IF(B14=1,1+SUMPRODUCT($B$6:$B$19*(($C$6:$C$19&gt;C14)+($C$6:$C$19=C14)*(($D$6:$D$19&gt;D14)+($D$6:$D$19=D14)*(($E$6:$E$19&gt;E14)+($E$6:$E$19=E14)*(($F$6:$F$19&gt;F14)+($F$6:$F$19=F14)*(($G$6:$G$19&gt;G14)+($G$6:$G$19=G14)*(($H$6:$H$19&gt;H14)+($H$6:$H$19=H14)*(($I$6:$I$19&gt;I14)+($I$6:$I$19=I14)*(($J$6:$J$19&gt;J14)+($J$6:$J$19=J14)*(($K$6:$K$19&gt;K14)+($K$6:$K$19=K14)*($L$6:$L$19&gt;L14))))))))))),"")</f>
        <v/>
      </c>
      <c r="N14" s="161">
        <f>IF(B14=1,IF(SUMPRODUCT($B$6:$B$19*($C$6:$C$19=C14)*($D$6:$D$19=D14)*($E$6:$E$19=E14)*($F$6:$F$19=F14)*($G$6:$G$19=G14)*($H$6:$H$19=H14)*($I$6:$I$19=I14)*($J$6:$J$19=J14)*($K$6:$K$19=K14)*($L$6:$L$19=L14))&gt;1,"SERI PENUH: panel berbincang dan rekod keputusan",""),"")</f>
        <v/>
      </c>
    </row>
    <row r="15" ht="26" customHeight="1">
      <c r="A15" s="83">
        <f>KEPUTUSAN!B15</f>
        <v/>
      </c>
      <c r="B15" s="155">
        <f>IF(AND(KEPUTUSAN!D15="Aktif",KEPUTUSAN!H15=3),1,0)</f>
        <v/>
      </c>
      <c r="C15" s="89">
        <f>IF(B15=1,ROUND(KEPUTUSAN!I15*100,0),0)</f>
        <v/>
      </c>
      <c r="D15" s="87">
        <f>IF($B15=1,HAKIM_H1!B15+HAKIM_H2!B15+HAKIM_H3!B15,0)</f>
        <v/>
      </c>
      <c r="E15" s="86">
        <f>IF($B15=1,HAKIM_H1!C15+HAKIM_H2!C15+HAKIM_H3!C15,0)</f>
        <v/>
      </c>
      <c r="F15" s="88">
        <f>IF($B15=1,HAKIM_H1!D15+HAKIM_H2!D15+HAKIM_H3!D15,0)</f>
        <v/>
      </c>
      <c r="G15" s="89">
        <f>IF($B15=1,HAKIM_H1!E15+HAKIM_H2!E15+HAKIM_H3!E15,0)</f>
        <v/>
      </c>
      <c r="H15" s="156">
        <f>IF($B15=1,HAKIM_H1!F15+HAKIM_H2!F15+HAKIM_H3!F15,0)</f>
        <v/>
      </c>
      <c r="I15" s="157">
        <f>IF($B15=1,HAKIM_H1!G15+HAKIM_H2!G15+HAKIM_H3!G15,0)</f>
        <v/>
      </c>
      <c r="J15" s="158">
        <f>IF($B15=1,HAKIM_H1!I15+HAKIM_H2!I15+HAKIM_H3!I15,0)</f>
        <v/>
      </c>
      <c r="K15" s="159">
        <f>IF($B15=1,HAKIM_H1!H15+HAKIM_H2!H15+HAKIM_H3!H15,0)</f>
        <v/>
      </c>
      <c r="L15" s="160">
        <f>IF($B15=1,HAKIM_H1!J15+HAKIM_H2!J15+HAKIM_H3!J15,0)</f>
        <v/>
      </c>
      <c r="M15" s="94">
        <f>IF(B15=1,1+SUMPRODUCT($B$6:$B$19*(($C$6:$C$19&gt;C15)+($C$6:$C$19=C15)*(($D$6:$D$19&gt;D15)+($D$6:$D$19=D15)*(($E$6:$E$19&gt;E15)+($E$6:$E$19=E15)*(($F$6:$F$19&gt;F15)+($F$6:$F$19=F15)*(($G$6:$G$19&gt;G15)+($G$6:$G$19=G15)*(($H$6:$H$19&gt;H15)+($H$6:$H$19=H15)*(($I$6:$I$19&gt;I15)+($I$6:$I$19=I15)*(($J$6:$J$19&gt;J15)+($J$6:$J$19=J15)*(($K$6:$K$19&gt;K15)+($K$6:$K$19=K15)*($L$6:$L$19&gt;L15))))))))))),"")</f>
        <v/>
      </c>
      <c r="N15" s="161">
        <f>IF(B15=1,IF(SUMPRODUCT($B$6:$B$19*($C$6:$C$19=C15)*($D$6:$D$19=D15)*($E$6:$E$19=E15)*($F$6:$F$19=F15)*($G$6:$G$19=G15)*($H$6:$H$19=H15)*($I$6:$I$19=I15)*($J$6:$J$19=J15)*($K$6:$K$19=K15)*($L$6:$L$19=L15))&gt;1,"SERI PENUH: panel berbincang dan rekod keputusan",""),"")</f>
        <v/>
      </c>
    </row>
    <row r="16" ht="26" customHeight="1">
      <c r="A16" s="83">
        <f>KEPUTUSAN!B16</f>
        <v/>
      </c>
      <c r="B16" s="155">
        <f>IF(AND(KEPUTUSAN!D16="Aktif",KEPUTUSAN!H16=3),1,0)</f>
        <v/>
      </c>
      <c r="C16" s="89">
        <f>IF(B16=1,ROUND(KEPUTUSAN!I16*100,0),0)</f>
        <v/>
      </c>
      <c r="D16" s="87">
        <f>IF($B16=1,HAKIM_H1!B16+HAKIM_H2!B16+HAKIM_H3!B16,0)</f>
        <v/>
      </c>
      <c r="E16" s="86">
        <f>IF($B16=1,HAKIM_H1!C16+HAKIM_H2!C16+HAKIM_H3!C16,0)</f>
        <v/>
      </c>
      <c r="F16" s="88">
        <f>IF($B16=1,HAKIM_H1!D16+HAKIM_H2!D16+HAKIM_H3!D16,0)</f>
        <v/>
      </c>
      <c r="G16" s="89">
        <f>IF($B16=1,HAKIM_H1!E16+HAKIM_H2!E16+HAKIM_H3!E16,0)</f>
        <v/>
      </c>
      <c r="H16" s="156">
        <f>IF($B16=1,HAKIM_H1!F16+HAKIM_H2!F16+HAKIM_H3!F16,0)</f>
        <v/>
      </c>
      <c r="I16" s="157">
        <f>IF($B16=1,HAKIM_H1!G16+HAKIM_H2!G16+HAKIM_H3!G16,0)</f>
        <v/>
      </c>
      <c r="J16" s="158">
        <f>IF($B16=1,HAKIM_H1!I16+HAKIM_H2!I16+HAKIM_H3!I16,0)</f>
        <v/>
      </c>
      <c r="K16" s="159">
        <f>IF($B16=1,HAKIM_H1!H16+HAKIM_H2!H16+HAKIM_H3!H16,0)</f>
        <v/>
      </c>
      <c r="L16" s="160">
        <f>IF($B16=1,HAKIM_H1!J16+HAKIM_H2!J16+HAKIM_H3!J16,0)</f>
        <v/>
      </c>
      <c r="M16" s="94">
        <f>IF(B16=1,1+SUMPRODUCT($B$6:$B$19*(($C$6:$C$19&gt;C16)+($C$6:$C$19=C16)*(($D$6:$D$19&gt;D16)+($D$6:$D$19=D16)*(($E$6:$E$19&gt;E16)+($E$6:$E$19=E16)*(($F$6:$F$19&gt;F16)+($F$6:$F$19=F16)*(($G$6:$G$19&gt;G16)+($G$6:$G$19=G16)*(($H$6:$H$19&gt;H16)+($H$6:$H$19=H16)*(($I$6:$I$19&gt;I16)+($I$6:$I$19=I16)*(($J$6:$J$19&gt;J16)+($J$6:$J$19=J16)*(($K$6:$K$19&gt;K16)+($K$6:$K$19=K16)*($L$6:$L$19&gt;L16))))))))))),"")</f>
        <v/>
      </c>
      <c r="N16" s="161">
        <f>IF(B16=1,IF(SUMPRODUCT($B$6:$B$19*($C$6:$C$19=C16)*($D$6:$D$19=D16)*($E$6:$E$19=E16)*($F$6:$F$19=F16)*($G$6:$G$19=G16)*($H$6:$H$19=H16)*($I$6:$I$19=I16)*($J$6:$J$19=J16)*($K$6:$K$19=K16)*($L$6:$L$19=L16))&gt;1,"SERI PENUH: panel berbincang dan rekod keputusan",""),"")</f>
        <v/>
      </c>
    </row>
    <row r="17" ht="26" customHeight="1">
      <c r="A17" s="83">
        <f>KEPUTUSAN!B17</f>
        <v/>
      </c>
      <c r="B17" s="155">
        <f>IF(AND(KEPUTUSAN!D17="Aktif",KEPUTUSAN!H17=3),1,0)</f>
        <v/>
      </c>
      <c r="C17" s="89">
        <f>IF(B17=1,ROUND(KEPUTUSAN!I17*100,0),0)</f>
        <v/>
      </c>
      <c r="D17" s="87">
        <f>IF($B17=1,HAKIM_H1!B17+HAKIM_H2!B17+HAKIM_H3!B17,0)</f>
        <v/>
      </c>
      <c r="E17" s="86">
        <f>IF($B17=1,HAKIM_H1!C17+HAKIM_H2!C17+HAKIM_H3!C17,0)</f>
        <v/>
      </c>
      <c r="F17" s="88">
        <f>IF($B17=1,HAKIM_H1!D17+HAKIM_H2!D17+HAKIM_H3!D17,0)</f>
        <v/>
      </c>
      <c r="G17" s="89">
        <f>IF($B17=1,HAKIM_H1!E17+HAKIM_H2!E17+HAKIM_H3!E17,0)</f>
        <v/>
      </c>
      <c r="H17" s="156">
        <f>IF($B17=1,HAKIM_H1!F17+HAKIM_H2!F17+HAKIM_H3!F17,0)</f>
        <v/>
      </c>
      <c r="I17" s="157">
        <f>IF($B17=1,HAKIM_H1!G17+HAKIM_H2!G17+HAKIM_H3!G17,0)</f>
        <v/>
      </c>
      <c r="J17" s="158">
        <f>IF($B17=1,HAKIM_H1!I17+HAKIM_H2!I17+HAKIM_H3!I17,0)</f>
        <v/>
      </c>
      <c r="K17" s="159">
        <f>IF($B17=1,HAKIM_H1!H17+HAKIM_H2!H17+HAKIM_H3!H17,0)</f>
        <v/>
      </c>
      <c r="L17" s="160">
        <f>IF($B17=1,HAKIM_H1!J17+HAKIM_H2!J17+HAKIM_H3!J17,0)</f>
        <v/>
      </c>
      <c r="M17" s="94">
        <f>IF(B17=1,1+SUMPRODUCT($B$6:$B$19*(($C$6:$C$19&gt;C17)+($C$6:$C$19=C17)*(($D$6:$D$19&gt;D17)+($D$6:$D$19=D17)*(($E$6:$E$19&gt;E17)+($E$6:$E$19=E17)*(($F$6:$F$19&gt;F17)+($F$6:$F$19=F17)*(($G$6:$G$19&gt;G17)+($G$6:$G$19=G17)*(($H$6:$H$19&gt;H17)+($H$6:$H$19=H17)*(($I$6:$I$19&gt;I17)+($I$6:$I$19=I17)*(($J$6:$J$19&gt;J17)+($J$6:$J$19=J17)*(($K$6:$K$19&gt;K17)+($K$6:$K$19=K17)*($L$6:$L$19&gt;L17))))))))))),"")</f>
        <v/>
      </c>
      <c r="N17" s="161">
        <f>IF(B17=1,IF(SUMPRODUCT($B$6:$B$19*($C$6:$C$19=C17)*($D$6:$D$19=D17)*($E$6:$E$19=E17)*($F$6:$F$19=F17)*($G$6:$G$19=G17)*($H$6:$H$19=H17)*($I$6:$I$19=I17)*($J$6:$J$19=J17)*($K$6:$K$19=K17)*($L$6:$L$19=L17))&gt;1,"SERI PENUH: panel berbincang dan rekod keputusan",""),"")</f>
        <v/>
      </c>
    </row>
    <row r="18" ht="26" customHeight="1">
      <c r="A18" s="83">
        <f>KEPUTUSAN!B18</f>
        <v/>
      </c>
      <c r="B18" s="155">
        <f>IF(AND(KEPUTUSAN!D18="Aktif",KEPUTUSAN!H18=3),1,0)</f>
        <v/>
      </c>
      <c r="C18" s="89">
        <f>IF(B18=1,ROUND(KEPUTUSAN!I18*100,0),0)</f>
        <v/>
      </c>
      <c r="D18" s="87">
        <f>IF($B18=1,HAKIM_H1!B18+HAKIM_H2!B18+HAKIM_H3!B18,0)</f>
        <v/>
      </c>
      <c r="E18" s="86">
        <f>IF($B18=1,HAKIM_H1!C18+HAKIM_H2!C18+HAKIM_H3!C18,0)</f>
        <v/>
      </c>
      <c r="F18" s="88">
        <f>IF($B18=1,HAKIM_H1!D18+HAKIM_H2!D18+HAKIM_H3!D18,0)</f>
        <v/>
      </c>
      <c r="G18" s="89">
        <f>IF($B18=1,HAKIM_H1!E18+HAKIM_H2!E18+HAKIM_H3!E18,0)</f>
        <v/>
      </c>
      <c r="H18" s="156">
        <f>IF($B18=1,HAKIM_H1!F18+HAKIM_H2!F18+HAKIM_H3!F18,0)</f>
        <v/>
      </c>
      <c r="I18" s="157">
        <f>IF($B18=1,HAKIM_H1!G18+HAKIM_H2!G18+HAKIM_H3!G18,0)</f>
        <v/>
      </c>
      <c r="J18" s="158">
        <f>IF($B18=1,HAKIM_H1!I18+HAKIM_H2!I18+HAKIM_H3!I18,0)</f>
        <v/>
      </c>
      <c r="K18" s="159">
        <f>IF($B18=1,HAKIM_H1!H18+HAKIM_H2!H18+HAKIM_H3!H18,0)</f>
        <v/>
      </c>
      <c r="L18" s="160">
        <f>IF($B18=1,HAKIM_H1!J18+HAKIM_H2!J18+HAKIM_H3!J18,0)</f>
        <v/>
      </c>
      <c r="M18" s="94">
        <f>IF(B18=1,1+SUMPRODUCT($B$6:$B$19*(($C$6:$C$19&gt;C18)+($C$6:$C$19=C18)*(($D$6:$D$19&gt;D18)+($D$6:$D$19=D18)*(($E$6:$E$19&gt;E18)+($E$6:$E$19=E18)*(($F$6:$F$19&gt;F18)+($F$6:$F$19=F18)*(($G$6:$G$19&gt;G18)+($G$6:$G$19=G18)*(($H$6:$H$19&gt;H18)+($H$6:$H$19=H18)*(($I$6:$I$19&gt;I18)+($I$6:$I$19=I18)*(($J$6:$J$19&gt;J18)+($J$6:$J$19=J18)*(($K$6:$K$19&gt;K18)+($K$6:$K$19=K18)*($L$6:$L$19&gt;L18))))))))))),"")</f>
        <v/>
      </c>
      <c r="N18" s="161">
        <f>IF(B18=1,IF(SUMPRODUCT($B$6:$B$19*($C$6:$C$19=C18)*($D$6:$D$19=D18)*($E$6:$E$19=E18)*($F$6:$F$19=F18)*($G$6:$G$19=G18)*($H$6:$H$19=H18)*($I$6:$I$19=I18)*($J$6:$J$19=J18)*($K$6:$K$19=K18)*($L$6:$L$19=L18))&gt;1,"SERI PENUH: panel berbincang dan rekod keputusan",""),"")</f>
        <v/>
      </c>
    </row>
    <row r="19" ht="26" customHeight="1">
      <c r="A19" s="83">
        <f>KEPUTUSAN!B19</f>
        <v/>
      </c>
      <c r="B19" s="155">
        <f>IF(AND(KEPUTUSAN!D19="Aktif",KEPUTUSAN!H19=3),1,0)</f>
        <v/>
      </c>
      <c r="C19" s="89">
        <f>IF(B19=1,ROUND(KEPUTUSAN!I19*100,0),0)</f>
        <v/>
      </c>
      <c r="D19" s="87">
        <f>IF($B19=1,HAKIM_H1!B19+HAKIM_H2!B19+HAKIM_H3!B19,0)</f>
        <v/>
      </c>
      <c r="E19" s="86">
        <f>IF($B19=1,HAKIM_H1!C19+HAKIM_H2!C19+HAKIM_H3!C19,0)</f>
        <v/>
      </c>
      <c r="F19" s="88">
        <f>IF($B19=1,HAKIM_H1!D19+HAKIM_H2!D19+HAKIM_H3!D19,0)</f>
        <v/>
      </c>
      <c r="G19" s="89">
        <f>IF($B19=1,HAKIM_H1!E19+HAKIM_H2!E19+HAKIM_H3!E19,0)</f>
        <v/>
      </c>
      <c r="H19" s="156">
        <f>IF($B19=1,HAKIM_H1!F19+HAKIM_H2!F19+HAKIM_H3!F19,0)</f>
        <v/>
      </c>
      <c r="I19" s="157">
        <f>IF($B19=1,HAKIM_H1!G19+HAKIM_H2!G19+HAKIM_H3!G19,0)</f>
        <v/>
      </c>
      <c r="J19" s="158">
        <f>IF($B19=1,HAKIM_H1!I19+HAKIM_H2!I19+HAKIM_H3!I19,0)</f>
        <v/>
      </c>
      <c r="K19" s="159">
        <f>IF($B19=1,HAKIM_H1!H19+HAKIM_H2!H19+HAKIM_H3!H19,0)</f>
        <v/>
      </c>
      <c r="L19" s="160">
        <f>IF($B19=1,HAKIM_H1!J19+HAKIM_H2!J19+HAKIM_H3!J19,0)</f>
        <v/>
      </c>
      <c r="M19" s="94">
        <f>IF(B19=1,1+SUMPRODUCT($B$6:$B$19*(($C$6:$C$19&gt;C19)+($C$6:$C$19=C19)*(($D$6:$D$19&gt;D19)+($D$6:$D$19=D19)*(($E$6:$E$19&gt;E19)+($E$6:$E$19=E19)*(($F$6:$F$19&gt;F19)+($F$6:$F$19=F19)*(($G$6:$G$19&gt;G19)+($G$6:$G$19=G19)*(($H$6:$H$19&gt;H19)+($H$6:$H$19=H19)*(($I$6:$I$19&gt;I19)+($I$6:$I$19=I19)*(($J$6:$J$19&gt;J19)+($J$6:$J$19=J19)*(($K$6:$K$19&gt;K19)+($K$6:$K$19=K19)*($L$6:$L$19&gt;L19))))))))))),"")</f>
        <v/>
      </c>
      <c r="N19" s="161">
        <f>IF(B19=1,IF(SUMPRODUCT($B$6:$B$19*($C$6:$C$19=C19)*($D$6:$D$19=D19)*($E$6:$E$19=E19)*($F$6:$F$19=F19)*($G$6:$G$19=G19)*($H$6:$H$19=H19)*($I$6:$I$19=I19)*($J$6:$J$19=J19)*($K$6:$K$19=K19)*($L$6:$L$19=L19))&gt;1,"SERI PENUH: panel berbincang dan rekod keputusan",""),"")</f>
        <v/>
      </c>
    </row>
  </sheetData>
  <mergeCells count="2">
    <mergeCell ref="A2:N2"/>
    <mergeCell ref="A1:N1"/>
  </mergeCells>
  <printOptions horizontalCentered="1"/>
  <pageMargins left="0.4" right="0.4" top="0.5" bottom="0.5" header="0.5" footer="0.5"/>
  <pageSetup orientation="landscape" paperSize="9" fitToHeight="0" fitToWidth="1"/>
</worksheet>
</file>

<file path=xl/worksheets/sheet9.xml><?xml version="1.0" encoding="utf-8"?>
<worksheet xmlns="http://schemas.openxmlformats.org/spreadsheetml/2006/main">
  <sheetPr>
    <tabColor rgb="00DC2626"/>
    <outlinePr summaryBelow="1" summaryRight="1"/>
    <pageSetUpPr fitToPage="1"/>
  </sheetPr>
  <dimension ref="A1:H19"/>
  <sheetViews>
    <sheetView showGridLines="0" workbookViewId="0">
      <selection activeCell="A1" sqref="A1"/>
    </sheetView>
  </sheetViews>
  <sheetFormatPr baseColWidth="8" defaultRowHeight="15"/>
  <cols>
    <col width="24" customWidth="1" min="1" max="1"/>
    <col width="16" customWidth="1" min="2" max="2"/>
    <col width="16" customWidth="1" min="3" max="3"/>
    <col width="11" customWidth="1" min="4" max="4"/>
    <col width="34" customWidth="1" min="5" max="5"/>
    <col width="3" customWidth="1" min="6" max="6"/>
    <col width="44" customWidth="1" min="7" max="7"/>
    <col width="16" customWidth="1" min="8" max="8"/>
  </cols>
  <sheetData>
    <row r="1" ht="32" customHeight="1">
      <c r="A1" s="1" t="inlineStr">
        <is>
          <t>SEMAKAN SILANG  |  kiraan semula bebas</t>
        </is>
      </c>
      <c r="B1" s="2" t="n"/>
      <c r="C1" s="2" t="n"/>
      <c r="D1" s="2" t="n"/>
      <c r="E1" s="2" t="n"/>
      <c r="F1" s="2" t="n"/>
      <c r="G1" s="2" t="n"/>
      <c r="H1" s="2" t="n"/>
    </row>
    <row r="2" ht="24" customHeight="1">
      <c r="A2" s="3" t="inlineStr">
        <is>
          <t>Kiraan semula menggunakan laluan formula berbeza daripada KEPUTUSAN (terus daripada markah komponen dan penalti mentah, bukan lajur jumlah hakim).</t>
        </is>
      </c>
      <c r="B2" s="4" t="n"/>
      <c r="C2" s="4" t="n"/>
      <c r="D2" s="4" t="n"/>
      <c r="E2" s="4" t="n"/>
      <c r="F2" s="4" t="n"/>
      <c r="G2" s="4" t="n"/>
      <c r="H2" s="4" t="n"/>
    </row>
    <row r="5" ht="34" customHeight="1">
      <c r="A5" s="50" t="inlineStr">
        <is>
          <t>Negeri</t>
        </is>
      </c>
      <c r="B5" s="78" t="inlineStr">
        <is>
          <t>Purata KEPUTUSAN</t>
        </is>
      </c>
      <c r="C5" s="75" t="inlineStr">
        <is>
          <t>Kiraan semula</t>
        </is>
      </c>
      <c r="D5" s="77" t="inlineStr">
        <is>
          <t>Beza</t>
        </is>
      </c>
      <c r="E5" s="81" t="inlineStr">
        <is>
          <t>Status</t>
        </is>
      </c>
      <c r="G5" s="162" t="inlineStr">
        <is>
          <t>Semakan ringkas</t>
        </is>
      </c>
      <c r="H5" s="162" t="inlineStr">
        <is>
          <t>Nilai</t>
        </is>
      </c>
    </row>
    <row r="6" ht="26" customHeight="1">
      <c r="A6" s="83">
        <f>KEPUTUSAN!B6</f>
        <v/>
      </c>
      <c r="B6" s="90">
        <f>KEPUTUSAN!I6</f>
        <v/>
      </c>
      <c r="C6" s="163">
        <f>IF(KEPUTUSAN!H6=3,ROUND((MAX(0,SUM(HAKIM_H1!B6:J6)-HAKIM_H1!K6-HAKIM_H1!L6)+MAX(0,SUM(HAKIM_H2!B6:J6)-HAKIM_H2!K6-HAKIM_H2!L6)+MAX(0,SUM(HAKIM_H3!B6:J6)-HAKIM_H3!K6-HAKIM_H3!L6))/3,2),"")</f>
        <v/>
      </c>
      <c r="D6" s="164">
        <f>IF(C6="","",ROUND(B6-C6,2))</f>
        <v/>
      </c>
      <c r="E6" s="130">
        <f>IF(C6="","",IF(ABS(D6)&lt;0.005,"SAMA","BEZA: semak tampalan"))</f>
        <v/>
      </c>
      <c r="G6" s="70" t="inlineStr">
        <is>
          <t>Pasukan aktif</t>
        </is>
      </c>
      <c r="H6" s="165">
        <f>COUNTIF(KEPUTUSAN!D6:D19,"Aktif")</f>
        <v/>
      </c>
    </row>
    <row r="7" ht="26" customHeight="1">
      <c r="A7" s="83">
        <f>KEPUTUSAN!B7</f>
        <v/>
      </c>
      <c r="B7" s="90">
        <f>KEPUTUSAN!I7</f>
        <v/>
      </c>
      <c r="C7" s="163">
        <f>IF(KEPUTUSAN!H7=3,ROUND((MAX(0,SUM(HAKIM_H1!B7:J7)-HAKIM_H1!K7-HAKIM_H1!L7)+MAX(0,SUM(HAKIM_H2!B7:J7)-HAKIM_H2!K7-HAKIM_H2!L7)+MAX(0,SUM(HAKIM_H3!B7:J7)-HAKIM_H3!K7-HAKIM_H3!L7))/3,2),"")</f>
        <v/>
      </c>
      <c r="D7" s="164">
        <f>IF(C7="","",ROUND(B7-C7,2))</f>
        <v/>
      </c>
      <c r="E7" s="130">
        <f>IF(C7="","",IF(ABS(D7)&lt;0.005,"SAMA","BEZA: semak tampalan"))</f>
        <v/>
      </c>
      <c r="G7" s="166" t="inlineStr">
        <is>
          <t>Pasukan aktif lengkap tiga hakim</t>
        </is>
      </c>
      <c r="H7" s="167">
        <f>COUNTIFS(KEPUTUSAN!D6:D19,"Aktif",KEPUTUSAN!H6:H19,3)</f>
        <v/>
      </c>
    </row>
    <row r="8" ht="26" customHeight="1">
      <c r="A8" s="83">
        <f>KEPUTUSAN!B8</f>
        <v/>
      </c>
      <c r="B8" s="90">
        <f>KEPUTUSAN!I8</f>
        <v/>
      </c>
      <c r="C8" s="163">
        <f>IF(KEPUTUSAN!H8=3,ROUND((MAX(0,SUM(HAKIM_H1!B8:J8)-HAKIM_H1!K8-HAKIM_H1!L8)+MAX(0,SUM(HAKIM_H2!B8:J8)-HAKIM_H2!K8-HAKIM_H2!L8)+MAX(0,SUM(HAKIM_H3!B8:J8)-HAKIM_H3!K8-HAKIM_H3!L8))/3,2),"")</f>
        <v/>
      </c>
      <c r="D8" s="164">
        <f>IF(C8="","",ROUND(B8-C8,2))</f>
        <v/>
      </c>
      <c r="E8" s="130">
        <f>IF(C8="","",IF(ABS(D8)&lt;0.005,"SAMA","BEZA: semak tampalan"))</f>
        <v/>
      </c>
      <c r="G8" s="168" t="inlineStr">
        <is>
          <t>H1 belum LENGKAP (aktif)</t>
        </is>
      </c>
      <c r="H8" s="169">
        <f>COUNTIFS(KEPUTUSAN!D6:D19,"Aktif",HAKIM_H1!Q6:Q19,"&lt;&gt;LENGKAP")</f>
        <v/>
      </c>
    </row>
    <row r="9" ht="26" customHeight="1">
      <c r="A9" s="83">
        <f>KEPUTUSAN!B9</f>
        <v/>
      </c>
      <c r="B9" s="90">
        <f>KEPUTUSAN!I9</f>
        <v/>
      </c>
      <c r="C9" s="163">
        <f>IF(KEPUTUSAN!H9=3,ROUND((MAX(0,SUM(HAKIM_H1!B9:J9)-HAKIM_H1!K9-HAKIM_H1!L9)+MAX(0,SUM(HAKIM_H2!B9:J9)-HAKIM_H2!K9-HAKIM_H2!L9)+MAX(0,SUM(HAKIM_H3!B9:J9)-HAKIM_H3!K9-HAKIM_H3!L9))/3,2),"")</f>
        <v/>
      </c>
      <c r="D9" s="164">
        <f>IF(C9="","",ROUND(B9-C9,2))</f>
        <v/>
      </c>
      <c r="E9" s="130">
        <f>IF(C9="","",IF(ABS(D9)&lt;0.005,"SAMA","BEZA: semak tampalan"))</f>
        <v/>
      </c>
      <c r="G9" s="170" t="inlineStr">
        <is>
          <t>H2 belum LENGKAP (aktif)</t>
        </is>
      </c>
      <c r="H9" s="171">
        <f>COUNTIFS(KEPUTUSAN!D6:D19,"Aktif",HAKIM_H2!Q6:Q19,"&lt;&gt;LENGKAP")</f>
        <v/>
      </c>
    </row>
    <row r="10" ht="26" customHeight="1">
      <c r="A10" s="83">
        <f>KEPUTUSAN!B10</f>
        <v/>
      </c>
      <c r="B10" s="90">
        <f>KEPUTUSAN!I10</f>
        <v/>
      </c>
      <c r="C10" s="163">
        <f>IF(KEPUTUSAN!H10=3,ROUND((MAX(0,SUM(HAKIM_H1!B10:J10)-HAKIM_H1!K10-HAKIM_H1!L10)+MAX(0,SUM(HAKIM_H2!B10:J10)-HAKIM_H2!K10-HAKIM_H2!L10)+MAX(0,SUM(HAKIM_H3!B10:J10)-HAKIM_H3!K10-HAKIM_H3!L10))/3,2),"")</f>
        <v/>
      </c>
      <c r="D10" s="164">
        <f>IF(C10="","",ROUND(B10-C10,2))</f>
        <v/>
      </c>
      <c r="E10" s="130">
        <f>IF(C10="","",IF(ABS(D10)&lt;0.005,"SAMA","BEZA: semak tampalan"))</f>
        <v/>
      </c>
      <c r="G10" s="172" t="inlineStr">
        <is>
          <t>H3 belum LENGKAP (aktif)</t>
        </is>
      </c>
      <c r="H10" s="173">
        <f>COUNTIFS(KEPUTUSAN!D6:D19,"Aktif",HAKIM_H3!Q6:Q19,"&lt;&gt;LENGKAP")</f>
        <v/>
      </c>
    </row>
    <row r="11" ht="26" customHeight="1">
      <c r="A11" s="83">
        <f>KEPUTUSAN!B11</f>
        <v/>
      </c>
      <c r="B11" s="90">
        <f>KEPUTUSAN!I11</f>
        <v/>
      </c>
      <c r="C11" s="163">
        <f>IF(KEPUTUSAN!H11=3,ROUND((MAX(0,SUM(HAKIM_H1!B11:J11)-HAKIM_H1!K11-HAKIM_H1!L11)+MAX(0,SUM(HAKIM_H2!B11:J11)-HAKIM_H2!K11-HAKIM_H2!L11)+MAX(0,SUM(HAKIM_H3!B11:J11)-HAKIM_H3!K11-HAKIM_H3!L11))/3,2),"")</f>
        <v/>
      </c>
      <c r="D11" s="164">
        <f>IF(C11="","",ROUND(B11-C11,2))</f>
        <v/>
      </c>
      <c r="E11" s="130">
        <f>IF(C11="","",IF(ABS(D11)&lt;0.005,"SAMA","BEZA: semak tampalan"))</f>
        <v/>
      </c>
      <c r="G11" s="174" t="inlineStr">
        <is>
          <t>Kiraan semula BEZA</t>
        </is>
      </c>
      <c r="H11" s="175">
        <f>COUNTIF(E6:E19,"BEZA*")</f>
        <v/>
      </c>
    </row>
    <row r="12" ht="26" customHeight="1">
      <c r="A12" s="83">
        <f>KEPUTUSAN!B12</f>
        <v/>
      </c>
      <c r="B12" s="90">
        <f>KEPUTUSAN!I12</f>
        <v/>
      </c>
      <c r="C12" s="163">
        <f>IF(KEPUTUSAN!H12=3,ROUND((MAX(0,SUM(HAKIM_H1!B12:J12)-HAKIM_H1!K12-HAKIM_H1!L12)+MAX(0,SUM(HAKIM_H2!B12:J12)-HAKIM_H2!K12-HAKIM_H2!L12)+MAX(0,SUM(HAKIM_H3!B12:J12)-HAKIM_H3!K12-HAKIM_H3!L12))/3,2),"")</f>
        <v/>
      </c>
      <c r="D12" s="164">
        <f>IF(C12="","",ROUND(B12-C12,2))</f>
        <v/>
      </c>
      <c r="E12" s="130">
        <f>IF(C12="","",IF(ABS(D12)&lt;0.005,"SAMA","BEZA: semak tampalan"))</f>
        <v/>
      </c>
      <c r="G12" s="176" t="inlineStr">
        <is>
          <t>Seri penuh</t>
        </is>
      </c>
      <c r="H12" s="177">
        <f>COUNTIF(PECAH_SERI!N6:N19,"SERI*")</f>
        <v/>
      </c>
    </row>
    <row r="13" ht="26" customHeight="1">
      <c r="A13" s="83">
        <f>KEPUTUSAN!B13</f>
        <v/>
      </c>
      <c r="B13" s="90">
        <f>KEPUTUSAN!I13</f>
        <v/>
      </c>
      <c r="C13" s="163">
        <f>IF(KEPUTUSAN!H13=3,ROUND((MAX(0,SUM(HAKIM_H1!B13:J13)-HAKIM_H1!K13-HAKIM_H1!L13)+MAX(0,SUM(HAKIM_H2!B13:J13)-HAKIM_H2!K13-HAKIM_H2!L13)+MAX(0,SUM(HAKIM_H3!B13:J13)-HAKIM_H3!K13-HAKIM_H3!L13))/3,2),"")</f>
        <v/>
      </c>
      <c r="D13" s="164">
        <f>IF(C13="","",ROUND(B13-C13,2))</f>
        <v/>
      </c>
      <c r="E13" s="130">
        <f>IF(C13="","",IF(ABS(D13)&lt;0.005,"SAMA","BEZA: semak tampalan"))</f>
        <v/>
      </c>
      <c r="G13" s="178" t="inlineStr">
        <is>
          <t>Sisihan lebih 20% (semak)</t>
        </is>
      </c>
      <c r="H13" s="179">
        <f>COUNTIF(KEPUTUSAN!L6:L19,"SEMAK*")</f>
        <v/>
      </c>
    </row>
    <row r="14" ht="26" customHeight="1">
      <c r="A14" s="83">
        <f>KEPUTUSAN!B14</f>
        <v/>
      </c>
      <c r="B14" s="90">
        <f>KEPUTUSAN!I14</f>
        <v/>
      </c>
      <c r="C14" s="163">
        <f>IF(KEPUTUSAN!H14=3,ROUND((MAX(0,SUM(HAKIM_H1!B14:J14)-HAKIM_H1!K14-HAKIM_H1!L14)+MAX(0,SUM(HAKIM_H2!B14:J14)-HAKIM_H2!K14-HAKIM_H2!L14)+MAX(0,SUM(HAKIM_H3!B14:J14)-HAKIM_H3!K14-HAKIM_H3!L14))/3,2),"")</f>
        <v/>
      </c>
      <c r="D14" s="164">
        <f>IF(C14="","",ROUND(B14-C14,2))</f>
        <v/>
      </c>
      <c r="E14" s="130">
        <f>IF(C14="","",IF(ABS(D14)&lt;0.005,"SAMA","BEZA: semak tampalan"))</f>
        <v/>
      </c>
      <c r="G14" s="180" t="inlineStr">
        <is>
          <t>Juri yang mengundi (daripada 25)</t>
        </is>
      </c>
      <c r="H14" s="181">
        <f>COUNTIF(JURI!D20:AB20,"&gt;0")</f>
        <v/>
      </c>
    </row>
    <row r="15" ht="26" customHeight="1">
      <c r="A15" s="83">
        <f>KEPUTUSAN!B15</f>
        <v/>
      </c>
      <c r="B15" s="90">
        <f>KEPUTUSAN!I15</f>
        <v/>
      </c>
      <c r="C15" s="163">
        <f>IF(KEPUTUSAN!H15=3,ROUND((MAX(0,SUM(HAKIM_H1!B15:J15)-HAKIM_H1!K15-HAKIM_H1!L15)+MAX(0,SUM(HAKIM_H2!B15:J15)-HAKIM_H2!K15-HAKIM_H2!L15)+MAX(0,SUM(HAKIM_H3!B15:J15)-HAKIM_H3!K15-HAKIM_H3!L15))/3,2),"")</f>
        <v/>
      </c>
      <c r="D15" s="164">
        <f>IF(C15="","",ROUND(B15-C15,2))</f>
        <v/>
      </c>
      <c r="E15" s="130">
        <f>IF(C15="","",IF(ABS(D15)&lt;0.005,"SAMA","BEZA: semak tampalan"))</f>
        <v/>
      </c>
      <c r="G15" s="70" t="inlineStr">
        <is>
          <t>Pasukan layak anugerah juri</t>
        </is>
      </c>
      <c r="H15" s="165">
        <f>COUNTIF(JURI!AE6:AE19,"LAYAK")</f>
        <v/>
      </c>
    </row>
    <row r="16" ht="26" customHeight="1">
      <c r="A16" s="83">
        <f>KEPUTUSAN!B16</f>
        <v/>
      </c>
      <c r="B16" s="90">
        <f>KEPUTUSAN!I16</f>
        <v/>
      </c>
      <c r="C16" s="163">
        <f>IF(KEPUTUSAN!H16=3,ROUND((MAX(0,SUM(HAKIM_H1!B16:J16)-HAKIM_H1!K16-HAKIM_H1!L16)+MAX(0,SUM(HAKIM_H2!B16:J16)-HAKIM_H2!K16-HAKIM_H2!L16)+MAX(0,SUM(HAKIM_H3!B16:J16)-HAKIM_H3!K16-HAKIM_H3!L16))/3,2),"")</f>
        <v/>
      </c>
      <c r="D16" s="164">
        <f>IF(C16="","",ROUND(B16-C16,2))</f>
        <v/>
      </c>
      <c r="E16" s="130">
        <f>IF(C16="","",IF(ABS(D16)&lt;0.005,"SAMA","BEZA: semak tampalan"))</f>
        <v/>
      </c>
    </row>
    <row r="17" ht="26" customHeight="1">
      <c r="A17" s="83">
        <f>KEPUTUSAN!B17</f>
        <v/>
      </c>
      <c r="B17" s="90">
        <f>KEPUTUSAN!I17</f>
        <v/>
      </c>
      <c r="C17" s="163">
        <f>IF(KEPUTUSAN!H17=3,ROUND((MAX(0,SUM(HAKIM_H1!B17:J17)-HAKIM_H1!K17-HAKIM_H1!L17)+MAX(0,SUM(HAKIM_H2!B17:J17)-HAKIM_H2!K17-HAKIM_H2!L17)+MAX(0,SUM(HAKIM_H3!B17:J17)-HAKIM_H3!K17-HAKIM_H3!L17))/3,2),"")</f>
        <v/>
      </c>
      <c r="D17" s="164">
        <f>IF(C17="","",ROUND(B17-C17,2))</f>
        <v/>
      </c>
      <c r="E17" s="130">
        <f>IF(C17="","",IF(ABS(D17)&lt;0.005,"SAMA","BEZA: semak tampalan"))</f>
        <v/>
      </c>
      <c r="G17" s="153" t="inlineStr">
        <is>
          <t>KESIMPULAN</t>
        </is>
      </c>
      <c r="H17" s="182">
        <f>IF(AND(H6&gt;0,H6=H7,H8=0,H9=0,H10=0,H11=0),"BERSIH","SEMAK")</f>
        <v/>
      </c>
    </row>
    <row r="18" ht="26" customHeight="1">
      <c r="A18" s="83">
        <f>KEPUTUSAN!B18</f>
        <v/>
      </c>
      <c r="B18" s="90">
        <f>KEPUTUSAN!I18</f>
        <v/>
      </c>
      <c r="C18" s="163">
        <f>IF(KEPUTUSAN!H18=3,ROUND((MAX(0,SUM(HAKIM_H1!B18:J18)-HAKIM_H1!K18-HAKIM_H1!L18)+MAX(0,SUM(HAKIM_H2!B18:J18)-HAKIM_H2!K18-HAKIM_H2!L18)+MAX(0,SUM(HAKIM_H3!B18:J18)-HAKIM_H3!K18-HAKIM_H3!L18))/3,2),"")</f>
        <v/>
      </c>
      <c r="D18" s="164">
        <f>IF(C18="","",ROUND(B18-C18,2))</f>
        <v/>
      </c>
      <c r="E18" s="130">
        <f>IF(C18="","",IF(ABS(D18)&lt;0.005,"SAMA","BEZA: semak tampalan"))</f>
        <v/>
      </c>
    </row>
    <row r="19" ht="26" customHeight="1">
      <c r="A19" s="83">
        <f>KEPUTUSAN!B19</f>
        <v/>
      </c>
      <c r="B19" s="90">
        <f>KEPUTUSAN!I19</f>
        <v/>
      </c>
      <c r="C19" s="163">
        <f>IF(KEPUTUSAN!H19=3,ROUND((MAX(0,SUM(HAKIM_H1!B19:J19)-HAKIM_H1!K19-HAKIM_H1!L19)+MAX(0,SUM(HAKIM_H2!B19:J19)-HAKIM_H2!K19-HAKIM_H2!L19)+MAX(0,SUM(HAKIM_H3!B19:J19)-HAKIM_H3!K19-HAKIM_H3!L19))/3,2),"")</f>
        <v/>
      </c>
      <c r="D19" s="164">
        <f>IF(C19="","",ROUND(B19-C19,2))</f>
        <v/>
      </c>
      <c r="E19" s="130">
        <f>IF(C19="","",IF(ABS(D19)&lt;0.005,"SAMA","BEZA: semak tampalan"))</f>
        <v/>
      </c>
    </row>
  </sheetData>
  <mergeCells count="2">
    <mergeCell ref="A2:H2"/>
    <mergeCell ref="A1:H1"/>
  </mergeCells>
  <conditionalFormatting sqref="E6:E19">
    <cfRule type="expression" priority="1" dxfId="3" stopIfTrue="0">
      <formula>$E6="SAMA"</formula>
    </cfRule>
    <cfRule type="expression" priority="2" dxfId="5" stopIfTrue="0">
      <formula>LEFT($E6,4)="BEZA"</formula>
    </cfRule>
  </conditionalFormatting>
  <conditionalFormatting sqref="H17">
    <cfRule type="expression" priority="3" dxfId="3" stopIfTrue="0">
      <formula>$H$17="BERSIH"</formula>
    </cfRule>
    <cfRule type="expression" priority="4" dxfId="4" stopIfTrue="0">
      <formula>$H$17="SEMAK"</formula>
    </cfRule>
  </conditionalFormatting>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2026-10-28T21:46:40Z</dcterms:created>
  <dcterms:modified xmlns:dcterms="http://purl.org/dc/terms/" xmlns:xsi="http://www.w3.org/2001/XMLSchema-instance" xsi:type="dcterms:W3CDTF">2026-10-28T21:46:41Z</dcterms:modified>
</cp:coreProperties>
</file>