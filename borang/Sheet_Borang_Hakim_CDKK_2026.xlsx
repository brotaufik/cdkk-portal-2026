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PEMARKAHAN" sheetId="2" state="visible" r:id="rId2"/>
    <sheet xmlns:r="http://schemas.openxmlformats.org/officeDocument/2006/relationships" name="SALIN" sheetId="3" state="visible" r:id="rId3"/>
    <sheet xmlns:r="http://schemas.openxmlformats.org/officeDocument/2006/relationships" name="CETAK" sheetId="4" state="visible" r:id="rId4"/>
  </sheets>
  <definedNames>
    <definedName name="_xlnm.Print_Area" localSheetId="0">'PANDUAN'!$A$1:$D$35</definedName>
    <definedName name="_xlnm.Print_Area" localSheetId="1">'PEMARKAHAN'!$A$1:$Y$33</definedName>
    <definedName name="_xlnm.Print_Area" localSheetId="2">'SALIN'!$A$1:$M$18</definedName>
    <definedName name="_xlnm.Print_Area" localSheetId="3">'CETAK'!$A$1:$O$51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8">
    <font>
      <name val="Calibri"/>
      <family val="2"/>
      <color theme="1"/>
      <sz val="11"/>
      <scheme val="minor"/>
    </font>
    <font>
      <name val="Arial"/>
      <b val="1"/>
      <color rgb="00F3D64E"/>
      <sz val="15"/>
    </font>
    <font>
      <name val="Arial"/>
      <i val="1"/>
      <color rgb="009EE7F5"/>
      <sz val="9"/>
    </font>
    <font>
      <name val="Arial"/>
      <b val="1"/>
      <color rgb="00FFFFFF"/>
      <sz val="11"/>
    </font>
    <font>
      <name val="Arial"/>
      <b val="1"/>
      <color rgb="000891B2"/>
      <sz val="10"/>
    </font>
    <font>
      <name val="Arial"/>
      <color rgb="001F2937"/>
      <sz val="10"/>
    </font>
    <font>
      <name val="Arial"/>
      <b val="1"/>
      <color rgb="00DB2777"/>
      <sz val="10"/>
    </font>
    <font>
      <name val="Arial"/>
      <b val="1"/>
      <color rgb="00CA8A04"/>
      <sz val="10"/>
    </font>
    <font>
      <name val="Arial"/>
      <b val="1"/>
      <color rgb="007C3AED"/>
      <sz val="10"/>
    </font>
    <font>
      <name val="Arial"/>
      <b val="1"/>
      <color rgb="00EA580C"/>
      <sz val="10"/>
    </font>
    <font>
      <name val="Arial"/>
      <b val="1"/>
      <color rgb="00059669"/>
      <sz val="10"/>
    </font>
    <font>
      <name val="Arial"/>
      <b val="1"/>
      <color rgb="001E2F55"/>
      <sz val="10"/>
    </font>
    <font>
      <name val="Arial"/>
      <b val="1"/>
      <color rgb="00DB2777"/>
      <sz val="12"/>
    </font>
    <font>
      <name val="Arial"/>
      <b val="1"/>
      <color rgb="002563EB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F1B33"/>
      <sz val="10"/>
    </font>
    <font>
      <name val="Arial"/>
      <b val="1"/>
      <color rgb="000891B2"/>
      <sz val="12"/>
    </font>
    <font>
      <name val="Arial"/>
      <b val="1"/>
      <color rgb="007C3AED"/>
      <sz val="12"/>
    </font>
    <font>
      <name val="Arial"/>
      <b val="1"/>
      <color rgb="00EA580C"/>
      <sz val="12"/>
    </font>
    <font>
      <name val="Arial"/>
      <b val="1"/>
      <color rgb="002563EB"/>
      <sz val="12"/>
    </font>
    <font>
      <name val="Arial"/>
      <b val="1"/>
      <color rgb="00059669"/>
      <sz val="12"/>
    </font>
    <font>
      <name val="Arial"/>
      <b val="1"/>
      <color rgb="00CA8A04"/>
      <sz val="12"/>
    </font>
    <font>
      <name val="Arial"/>
      <b val="1"/>
      <color rgb="00C026D3"/>
      <sz val="12"/>
    </font>
    <font>
      <name val="Arial"/>
      <b val="1"/>
      <color rgb="0065A30D"/>
      <sz val="12"/>
    </font>
    <font>
      <name val="Arial"/>
      <b val="1"/>
      <color rgb="00DC2626"/>
      <sz val="12"/>
    </font>
    <font>
      <name val="Arial"/>
      <b val="1"/>
      <color rgb="000F1B33"/>
      <sz val="12"/>
    </font>
    <font>
      <name val="Arial"/>
      <b val="1"/>
      <color rgb="00FFFFFF"/>
      <sz val="10"/>
    </font>
    <font>
      <name val="Arial"/>
      <color rgb="007C3AED"/>
      <sz val="9"/>
    </font>
    <font>
      <name val="Arial"/>
      <color rgb="002563EB"/>
      <sz val="9"/>
    </font>
    <font>
      <name val="Arial"/>
      <b val="1"/>
      <color rgb="000F1B33"/>
      <sz val="11"/>
    </font>
    <font>
      <name val="Arial"/>
      <b val="1"/>
      <color rgb="002563EB"/>
      <sz val="11"/>
    </font>
    <font>
      <name val="Arial"/>
      <b val="1"/>
      <color rgb="00DC2626"/>
      <sz val="11"/>
    </font>
    <font>
      <name val="Arial"/>
      <b val="1"/>
      <color rgb="00EA580C"/>
      <sz val="13"/>
    </font>
    <font>
      <name val="Arial"/>
      <b val="1"/>
      <color rgb="001E2F55"/>
      <sz val="9"/>
    </font>
    <font>
      <name val="Arial"/>
      <b val="1"/>
      <color rgb="001E2F55"/>
      <sz val="8"/>
    </font>
    <font>
      <name val="Arial"/>
      <b val="1"/>
      <color rgb="00C026D3"/>
      <sz val="10"/>
    </font>
    <font>
      <name val="Arial"/>
      <b val="1"/>
      <color rgb="0065A30D"/>
      <sz val="10"/>
    </font>
    <font>
      <name val="Arial"/>
      <b val="1"/>
      <color rgb="00DC2626"/>
      <sz val="10"/>
    </font>
    <font>
      <name val="Arial"/>
      <b val="1"/>
      <color rgb="00F3D64E"/>
      <sz val="13"/>
    </font>
    <font>
      <name val="Arial"/>
      <b val="1"/>
      <color rgb="00DC2626"/>
      <sz val="8"/>
    </font>
    <font>
      <name val="Arial"/>
      <b val="1"/>
      <color rgb="007C3AED"/>
      <sz val="8"/>
    </font>
    <font>
      <name val="Arial"/>
      <color rgb="001F2937"/>
      <sz val="14"/>
    </font>
    <font>
      <name val="Arial"/>
      <color rgb="001E2F55"/>
      <sz val="8.5"/>
    </font>
    <font>
      <name val="Arial"/>
      <b val="1"/>
      <color rgb="00F3D64E"/>
      <sz val="12"/>
    </font>
    <font>
      <name val="Arial"/>
      <color rgb="00EA580C"/>
      <sz val="12"/>
    </font>
    <font>
      <name val="Arial"/>
      <color rgb="001F2937"/>
      <sz val="13"/>
    </font>
    <font>
      <name val="Arial"/>
      <color rgb="001E2F55"/>
      <sz val="9"/>
    </font>
  </fonts>
  <fills count="31">
    <fill>
      <patternFill/>
    </fill>
    <fill>
      <patternFill patternType="gray125"/>
    </fill>
    <fill>
      <patternFill patternType="solid">
        <fgColor rgb="000F1B33"/>
        <bgColor rgb="000F1B33"/>
      </patternFill>
    </fill>
    <fill>
      <patternFill patternType="solid">
        <fgColor rgb="001E2F55"/>
        <bgColor rgb="001E2F55"/>
      </patternFill>
    </fill>
    <fill>
      <patternFill patternType="solid">
        <fgColor rgb="000891B2"/>
        <bgColor rgb="000891B2"/>
      </patternFill>
    </fill>
    <fill>
      <patternFill patternType="solid">
        <fgColor rgb="00DB2777"/>
        <bgColor rgb="00DB2777"/>
      </patternFill>
    </fill>
    <fill>
      <patternFill patternType="solid">
        <fgColor rgb="00CA8A04"/>
        <bgColor rgb="00CA8A04"/>
      </patternFill>
    </fill>
    <fill>
      <patternFill patternType="solid">
        <fgColor rgb="007C3AED"/>
        <bgColor rgb="007C3AED"/>
      </patternFill>
    </fill>
    <fill>
      <patternFill patternType="solid">
        <fgColor rgb="00EEF2FA"/>
        <bgColor rgb="00EEF2FA"/>
      </patternFill>
    </fill>
    <fill>
      <patternFill patternType="solid">
        <fgColor rgb="00FFFFFF"/>
        <bgColor rgb="00FFFFFF"/>
      </patternFill>
    </fill>
    <fill>
      <patternFill patternType="solid">
        <fgColor rgb="00EA580C"/>
        <bgColor rgb="00EA580C"/>
      </patternFill>
    </fill>
    <fill>
      <patternFill patternType="solid">
        <fgColor rgb="00059669"/>
        <bgColor rgb="00059669"/>
      </patternFill>
    </fill>
    <fill>
      <patternFill patternType="solid">
        <fgColor rgb="002563EB"/>
        <bgColor rgb="002563EB"/>
      </patternFill>
    </fill>
    <fill>
      <patternFill patternType="solid">
        <fgColor rgb="00C026D3"/>
        <bgColor rgb="00C026D3"/>
      </patternFill>
    </fill>
    <fill>
      <patternFill patternType="solid">
        <fgColor rgb="0065A30D"/>
        <bgColor rgb="0065A30D"/>
      </patternFill>
    </fill>
    <fill>
      <patternFill patternType="solid">
        <fgColor rgb="00D3F1F8"/>
        <bgColor rgb="00D3F1F8"/>
      </patternFill>
    </fill>
    <fill>
      <patternFill patternType="solid">
        <fgColor rgb="00FFF4C2"/>
        <bgColor rgb="00FFF4C2"/>
      </patternFill>
    </fill>
    <fill>
      <patternFill patternType="solid">
        <fgColor rgb="00E6EEFB"/>
        <bgColor rgb="00E6EEFB"/>
      </patternFill>
    </fill>
    <fill>
      <patternFill patternType="solid">
        <fgColor rgb="00DC2626"/>
        <bgColor rgb="00DC2626"/>
      </patternFill>
    </fill>
    <fill>
      <patternFill patternType="solid">
        <fgColor rgb="00F3D64E"/>
        <bgColor rgb="00F3D64E"/>
      </patternFill>
    </fill>
    <fill>
      <patternFill patternType="solid">
        <fgColor rgb="00FBDDEC"/>
        <bgColor rgb="00FBDDEC"/>
      </patternFill>
    </fill>
    <fill>
      <patternFill patternType="solid">
        <fgColor rgb="00E7DEFD"/>
        <bgColor rgb="00E7DEFD"/>
      </patternFill>
    </fill>
    <fill>
      <patternFill patternType="solid">
        <fgColor rgb="00FFE2CF"/>
        <bgColor rgb="00FFE2CF"/>
      </patternFill>
    </fill>
    <fill>
      <patternFill patternType="solid">
        <fgColor rgb="00DAE7FD"/>
        <bgColor rgb="00DAE7FD"/>
      </patternFill>
    </fill>
    <fill>
      <patternFill patternType="solid">
        <fgColor rgb="00D1F1E4"/>
        <bgColor rgb="00D1F1E4"/>
      </patternFill>
    </fill>
    <fill>
      <patternFill patternType="solid">
        <fgColor rgb="00FDF1BF"/>
        <bgColor rgb="00FDF1BF"/>
      </patternFill>
    </fill>
    <fill>
      <patternFill patternType="solid">
        <fgColor rgb="00F6D9FA"/>
        <bgColor rgb="00F6D9FA"/>
      </patternFill>
    </fill>
    <fill>
      <patternFill patternType="solid">
        <fgColor rgb="00E4F4C8"/>
        <bgColor rgb="00E4F4C8"/>
      </patternFill>
    </fill>
    <fill>
      <patternFill patternType="solid">
        <fgColor rgb="00FBD9D9"/>
        <bgColor rgb="00FBD9D9"/>
      </patternFill>
    </fill>
    <fill>
      <patternFill patternType="solid">
        <fgColor rgb="00FFF1B8"/>
        <bgColor rgb="00FFF1B8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9AA8C4"/>
      </left>
      <right style="thin">
        <color rgb="009AA8C4"/>
      </right>
      <top style="thin">
        <color rgb="009AA8C4"/>
      </top>
      <bottom style="thin">
        <color rgb="009AA8C4"/>
      </bottom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wrapText="1"/>
    </xf>
    <xf numFmtId="0" fontId="0" fillId="10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3" fillId="11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12" fillId="16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5" fillId="16" borderId="1" applyAlignment="1" pivotButton="0" quotePrefix="0" xfId="0">
      <alignment horizontal="left" vertical="center" wrapText="1"/>
    </xf>
    <xf numFmtId="0" fontId="0" fillId="16" borderId="1" pivotButton="0" quotePrefix="0" xfId="0"/>
    <xf numFmtId="164" fontId="5" fillId="16" borderId="1" applyAlignment="1" pivotButton="0" quotePrefix="0" xfId="0">
      <alignment horizontal="center" vertical="center"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4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4" fillId="18" borderId="1" applyAlignment="1" pivotButton="0" quotePrefix="0" xfId="0">
      <alignment horizontal="center" vertical="center" wrapText="1"/>
    </xf>
    <xf numFmtId="0" fontId="0" fillId="18" borderId="1" pivotButton="0" quotePrefix="0" xfId="0"/>
    <xf numFmtId="0" fontId="14" fillId="1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5" fillId="2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16" fillId="19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18" fillId="21" borderId="1" applyAlignment="1" pivotButton="0" quotePrefix="0" xfId="0">
      <alignment horizontal="center" vertical="center" wrapText="1"/>
    </xf>
    <xf numFmtId="0" fontId="19" fillId="22" borderId="1" applyAlignment="1" pivotButton="0" quotePrefix="0" xfId="0">
      <alignment horizontal="center" vertical="center" wrapText="1"/>
    </xf>
    <xf numFmtId="0" fontId="20" fillId="23" borderId="1" applyAlignment="1" pivotButton="0" quotePrefix="0" xfId="0">
      <alignment horizontal="center" vertical="center" wrapText="1"/>
    </xf>
    <xf numFmtId="0" fontId="21" fillId="24" borderId="1" applyAlignment="1" pivotButton="0" quotePrefix="0" xfId="0">
      <alignment horizontal="center" vertical="center" wrapText="1"/>
    </xf>
    <xf numFmtId="0" fontId="22" fillId="25" borderId="1" applyAlignment="1" pivotButton="0" quotePrefix="0" xfId="0">
      <alignment horizontal="center" vertical="center" wrapText="1"/>
    </xf>
    <xf numFmtId="0" fontId="23" fillId="26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5" fillId="28" borderId="1" applyAlignment="1" pivotButton="0" quotePrefix="0" xfId="0">
      <alignment horizontal="center" vertical="center" wrapText="1"/>
    </xf>
    <xf numFmtId="0" fontId="26" fillId="19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center" vertical="center" wrapText="1"/>
    </xf>
    <xf numFmtId="0" fontId="28" fillId="21" borderId="1" applyAlignment="1" pivotButton="0" quotePrefix="0" xfId="0">
      <alignment horizontal="left" vertical="center" wrapText="1"/>
    </xf>
    <xf numFmtId="0" fontId="29" fillId="23" borderId="1" applyAlignment="1" pivotButton="0" quotePrefix="0" xfId="0">
      <alignment horizontal="left" vertical="center" wrapText="1"/>
    </xf>
    <xf numFmtId="0" fontId="30" fillId="17" borderId="1" applyAlignment="1" pivotButton="0" quotePrefix="0" xfId="0">
      <alignment horizontal="center" vertical="center" wrapText="1"/>
    </xf>
    <xf numFmtId="0" fontId="31" fillId="17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33" fillId="29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27" fillId="7" borderId="1" applyAlignment="1" pivotButton="0" quotePrefix="0" xfId="0">
      <alignment horizontal="center" vertical="center" wrapText="1"/>
    </xf>
    <xf numFmtId="0" fontId="27" fillId="10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center" vertical="center" wrapText="1"/>
    </xf>
    <xf numFmtId="0" fontId="27" fillId="12" borderId="1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center" vertical="center" wrapText="1"/>
    </xf>
    <xf numFmtId="0" fontId="27" fillId="14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top" wrapText="1"/>
    </xf>
    <xf numFmtId="0" fontId="27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6" fillId="17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35" fillId="15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13" fillId="23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  <xf numFmtId="0" fontId="36" fillId="26" borderId="1" applyAlignment="1" pivotButton="0" quotePrefix="0" xfId="0">
      <alignment horizontal="center" vertical="center" wrapText="1"/>
    </xf>
    <xf numFmtId="0" fontId="37" fillId="27" borderId="1" applyAlignment="1" pivotButton="0" quotePrefix="0" xfId="0">
      <alignment horizontal="center" vertical="center" wrapText="1"/>
    </xf>
    <xf numFmtId="0" fontId="38" fillId="28" borderId="1" applyAlignment="1" pivotButton="0" quotePrefix="0" xfId="0">
      <alignment horizontal="center" vertical="center" wrapText="1"/>
    </xf>
    <xf numFmtId="0" fontId="9" fillId="29" borderId="1" applyAlignment="1" pivotButton="0" quotePrefix="0" xfId="0">
      <alignment horizontal="center" vertical="center" wrapText="1"/>
    </xf>
    <xf numFmtId="0" fontId="39" fillId="2" borderId="0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40" fillId="28" borderId="1" applyAlignment="1" pivotButton="0" quotePrefix="0" xfId="0">
      <alignment horizontal="center" vertical="center" wrapText="1"/>
    </xf>
    <xf numFmtId="0" fontId="35" fillId="8" borderId="1" applyAlignment="1" pivotButton="0" quotePrefix="0" xfId="0">
      <alignment horizontal="left" vertical="center" wrapText="1"/>
    </xf>
    <xf numFmtId="0" fontId="41" fillId="8" borderId="1" applyAlignment="1" pivotButton="0" quotePrefix="0" xfId="0">
      <alignment horizontal="left" vertical="center" wrapText="1"/>
    </xf>
    <xf numFmtId="0" fontId="42" fillId="9" borderId="1" applyAlignment="1" pivotButton="0" quotePrefix="0" xfId="0">
      <alignment horizontal="center" vertical="center" wrapText="1"/>
    </xf>
    <xf numFmtId="0" fontId="42" fillId="30" borderId="1" applyAlignment="1" pivotButton="0" quotePrefix="0" xfId="0">
      <alignment horizontal="center" vertical="center" wrapText="1"/>
    </xf>
    <xf numFmtId="0" fontId="43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44" fillId="2" borderId="0" applyAlignment="1" pivotButton="0" quotePrefix="0" xfId="0">
      <alignment horizontal="left" vertical="center" wrapText="1"/>
    </xf>
    <xf numFmtId="0" fontId="0" fillId="12" borderId="1" pivotButton="0" quotePrefix="0" xfId="0"/>
    <xf numFmtId="0" fontId="45" fillId="0" borderId="1" applyAlignment="1" pivotButton="0" quotePrefix="0" xfId="0">
      <alignment horizontal="center" vertical="center" wrapText="1"/>
    </xf>
    <xf numFmtId="0" fontId="4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7" fillId="25" borderId="1" applyAlignment="1" pivotButton="0" quotePrefix="0" xfId="0">
      <alignment horizontal="left" vertical="center" wrapText="1"/>
    </xf>
    <xf numFmtId="0" fontId="0" fillId="25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7">
    <dxf>
      <font>
        <name val="Arial"/>
        <b val="1"/>
        <color rgb="001B5E20"/>
      </font>
      <fill>
        <patternFill patternType="solid">
          <fgColor rgb="00D5EBD0"/>
          <bgColor rgb="00D5EBD0"/>
        </patternFill>
      </fill>
    </dxf>
    <dxf>
      <font>
        <name val="Arial"/>
        <b val="1"/>
        <color rgb="008B0000"/>
      </font>
      <fill>
        <patternFill patternType="solid">
          <fgColor rgb="00F6CFCF"/>
          <bgColor rgb="00F6CFCF"/>
        </patternFill>
      </fill>
    </dxf>
    <dxf>
      <font>
        <name val="Arial"/>
        <b val="1"/>
        <color rgb="007A4B00"/>
      </font>
      <fill>
        <patternFill patternType="solid">
          <fgColor rgb="00FDE3B0"/>
          <bgColor rgb="00FDE3B0"/>
        </patternFill>
      </fill>
    </dxf>
    <dxf>
      <font>
        <name val="Arial"/>
        <color rgb="001F2937"/>
      </font>
      <fill>
        <patternFill patternType="solid">
          <fgColor rgb="00F6CFCF"/>
          <bgColor rgb="00F6CFCF"/>
        </patternFill>
      </fill>
    </dxf>
    <dxf>
      <font>
        <name val="Arial"/>
        <color rgb="007F7F7F"/>
      </font>
      <fill>
        <patternFill patternType="solid">
          <fgColor rgb="00D9D9D9"/>
          <bgColor rgb="00D9D9D9"/>
        </patternFill>
      </fill>
    </dxf>
    <dxf>
      <font>
        <name val="Arial"/>
        <b val="1"/>
        <color rgb="00FFFFFF"/>
      </font>
      <fill>
        <patternFill patternType="solid">
          <fgColor rgb="00DC2626"/>
          <bgColor rgb="00DC2626"/>
        </patternFill>
      </fill>
    </dxf>
    <dxf>
      <font>
        <name val="Arial"/>
        <color rgb="001F2937"/>
      </font>
      <fill>
        <patternFill patternType="solid">
          <fgColor rgb="00FDE3B0"/>
          <bgColor rgb="00FDE3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D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7" customWidth="1" min="2" max="2"/>
    <col width="26" customWidth="1" min="3" max="3"/>
    <col width="108" customWidth="1" min="4" max="4"/>
  </cols>
  <sheetData>
    <row r="1" ht="32" customHeight="1">
      <c r="A1" s="1" t="inlineStr">
        <is>
          <t>TEMPLAT BORANG HAKIM  |  CDKK @FESMA 2026  |  PANDUAN</t>
        </is>
      </c>
      <c r="B1" s="2" t="n"/>
      <c r="C1" s="2" t="n"/>
      <c r="D1" s="2" t="n"/>
    </row>
    <row r="2" ht="24" customHeight="1">
      <c r="A2" s="3" t="inlineStr">
        <is>
          <t>Baca panduan ini sekali sebelum guna. Sel KUNING = isi/pilih. Sel BIRU = formula, jangan taip.</t>
        </is>
      </c>
      <c r="B2" s="4" t="n"/>
      <c r="C2" s="4" t="n"/>
      <c r="D2" s="4" t="n"/>
    </row>
    <row r="3" ht="6" customHeight="1">
      <c r="A3" s="5" t="n"/>
      <c r="B3" s="6" t="n"/>
      <c r="C3" s="7" t="n"/>
      <c r="D3" s="8" t="n"/>
    </row>
    <row r="5" ht="26" customHeight="1">
      <c r="B5" s="9" t="inlineStr">
        <is>
          <t>TUJUAN</t>
        </is>
      </c>
      <c r="C5" s="5" t="n"/>
      <c r="D5" s="5" t="n"/>
    </row>
    <row r="6" ht="36" customHeight="1">
      <c r="B6" s="10" t="inlineStr">
        <is>
          <t>A</t>
        </is>
      </c>
      <c r="C6" s="11" t="inlineStr">
        <is>
          <t>Fungsi borang</t>
        </is>
      </c>
      <c r="D6" s="12" t="inlineStr">
        <is>
          <t>Borang pemarkahan alternatif sebagai sandaran kepada halaman Hakim dalam Portal CDKK. Ia TIDAK bersambung dengan sistem Apps Script.</t>
        </is>
      </c>
    </row>
    <row r="7" ht="36" customHeight="1">
      <c r="B7" s="10" t="inlineStr">
        <is>
          <t>B</t>
        </is>
      </c>
      <c r="C7" s="13" t="inlineStr">
        <is>
          <t>Hala tuju markah</t>
        </is>
      </c>
      <c r="D7" s="14" t="inlineStr">
        <is>
          <t>Markah daripada borang ini dimasukkan ke fail Rumusan Urusetia oleh Urusetia Kehakiman (lihat tab SALIN).</t>
        </is>
      </c>
    </row>
    <row r="8" ht="36" customHeight="1">
      <c r="B8" s="10" t="inlineStr">
        <is>
          <t>C</t>
        </is>
      </c>
      <c r="C8" s="11" t="inlineStr">
        <is>
          <t>Borang yang betul</t>
        </is>
      </c>
      <c r="D8" s="12" t="inlineStr">
        <is>
          <t>Sembilan komponen, Kandungan, fakta dan mesej bernilai 15 markah, jumlah 100. Jangan guna borang Jun lama yang 8 komponen.</t>
        </is>
      </c>
    </row>
    <row r="10" ht="26" customHeight="1">
      <c r="B10" s="15" t="inlineStr">
        <is>
          <t>CARA GUNA DI KOMPUTER</t>
        </is>
      </c>
      <c r="C10" s="6" t="n"/>
      <c r="D10" s="6" t="n"/>
    </row>
    <row r="11" ht="36" customHeight="1">
      <c r="B11" s="16" t="inlineStr">
        <is>
          <t>1</t>
        </is>
      </c>
      <c r="C11" s="17" t="inlineStr">
        <is>
          <t>Salin fail</t>
        </is>
      </c>
      <c r="D11" s="12" t="inlineStr">
        <is>
          <t>Fail &gt; Buat salinan, tiga kali: satu setiap hakim (CDKK_Borang_Hakim_H1, _H2, _H3). Kongsi setiap salinan kepada hakim berkenaan SAHAJA. H1 = Ketua Hakim, H2 dan H3 = Panel Hakim.</t>
        </is>
      </c>
    </row>
    <row r="12" ht="36" customHeight="1">
      <c r="B12" s="16" t="inlineStr">
        <is>
          <t>2</t>
        </is>
      </c>
      <c r="C12" s="18" t="inlineStr">
        <is>
          <t>Buka tab PEMARKAHAN</t>
        </is>
      </c>
      <c r="D12" s="14" t="inlineStr">
        <is>
          <t>Pilih Kod hakim dalam dropdown, taip nama dan tarikh. Sel KUNING dan sel berwarna komponen ialah ruang untuk diisi. Sel BIRU ialah formula, jangan taip.</t>
        </is>
      </c>
    </row>
    <row r="13" ht="36" customHeight="1">
      <c r="B13" s="16" t="inlineStr">
        <is>
          <t>3</t>
        </is>
      </c>
      <c r="C13" s="17" t="inlineStr">
        <is>
          <t>Pilih markah (dropdown)</t>
        </is>
      </c>
      <c r="D13" s="12" t="inlineStr">
        <is>
          <t>Markah TIDAK boleh ditaip. Klik sel, klik anak panah dan PILIH nombor. Senarai hanya sehingga maksimum setiap komponen, jadi markah tidak mungkin melebihi had. Nombor di luar senarai ditolak.</t>
        </is>
      </c>
    </row>
    <row r="14" ht="36" customHeight="1">
      <c r="B14" s="16" t="inlineStr">
        <is>
          <t>4</t>
        </is>
      </c>
      <c r="C14" s="18" t="inlineStr">
        <is>
          <t>Peraturan komponen</t>
        </is>
      </c>
      <c r="D14" s="14" t="inlineStr">
        <is>
          <t>Pilih Ya pada Audio senyap (Audio jadi 0), Tiada AURORA (AURORA jadi 0) atau AURORA pegun (AURORA siling 2). Formula menggunakannya sendiri, markah asal anda kekal dalam sel.</t>
        </is>
      </c>
    </row>
    <row r="15" ht="36" customHeight="1">
      <c r="B15" s="16" t="inlineStr">
        <is>
          <t>5</t>
        </is>
      </c>
      <c r="C15" s="17" t="inlineStr">
        <is>
          <t>Komponen bawah 60%</t>
        </is>
      </c>
      <c r="D15" s="12" t="inlineStr">
        <is>
          <t>Sel bertukar oren bila markah kurang 60% daripada maksimum. Lajur Justifikasi WAJIB diisi, dan Semakan menunjukkan JUSTIFIKASI WAJIB sehingga ia diisi.</t>
        </is>
      </c>
    </row>
    <row r="16" ht="36" customHeight="1">
      <c r="B16" s="16" t="inlineStr">
        <is>
          <t>6</t>
        </is>
      </c>
      <c r="C16" s="18" t="inlineStr">
        <is>
          <t>Penalti (dropdown)</t>
        </is>
      </c>
      <c r="D16" s="14" t="inlineStr">
        <is>
          <t>Penalti aset (0 hingga 3) dan budi bicara (0 hingga 2) dipilih oleh hakim sendiri. Sistem tidak memotong secara automatik. Sebab penalti WAJIB bila penalti lebih daripada 0.</t>
        </is>
      </c>
    </row>
    <row r="17" ht="36" customHeight="1">
      <c r="B17" s="16" t="inlineStr">
        <is>
          <t>7</t>
        </is>
      </c>
      <c r="C17" s="17" t="inlineStr">
        <is>
          <t>Jumlah dikira sendiri</t>
        </is>
      </c>
      <c r="D17" s="12" t="inlineStr">
        <is>
          <t>Jumlah komponen, jumlah selepas peraturan, penalti dan JUMLAH AKHIR dikira automatik. Semakan menunjukkan LENGKAP bila semua syarat dipenuhi.</t>
        </is>
      </c>
    </row>
    <row r="18" ht="36" customHeight="1">
      <c r="B18" s="16" t="inlineStr">
        <is>
          <t>8</t>
        </is>
      </c>
      <c r="C18" s="18" t="inlineStr">
        <is>
          <t>Siap dan serah</t>
        </is>
      </c>
      <c r="D18" s="14" t="inlineStr">
        <is>
          <t>Isi ulasan dan perakuan di bawah jadual. Status borang bertukar SEDIA DISERAH. Beritahu Urusetia Kehakiman, yang menyalin tab SALIN ke fail Rumusan.</t>
        </is>
      </c>
    </row>
    <row r="20" ht="26" customHeight="1">
      <c r="B20" s="19" t="inlineStr">
        <is>
          <t>PASUKAN TARIK DIRI ATAU BATAL</t>
        </is>
      </c>
      <c r="C20" s="7" t="n"/>
      <c r="D20" s="7" t="n"/>
    </row>
    <row r="21" ht="36" customHeight="1">
      <c r="B21" s="20" t="inlineStr">
        <is>
          <t>1</t>
        </is>
      </c>
      <c r="C21" s="21" t="inlineStr">
        <is>
          <t>Tukar status</t>
        </is>
      </c>
      <c r="D21" s="12" t="inlineStr">
        <is>
          <t>Tukar lajur Status pasukan kepada Tarik diri atau BATAL. Barisnya dikecualikan daripada semakan dan tidak perlu diisi.</t>
        </is>
      </c>
    </row>
    <row r="23" ht="26" customHeight="1">
      <c r="B23" s="22" t="inlineStr">
        <is>
          <t>CARA CETAK (JIKA KOMPUTER BERMASALAH)</t>
        </is>
      </c>
      <c r="C23" s="8" t="n"/>
      <c r="D23" s="8" t="n"/>
    </row>
    <row r="24" ht="36" customHeight="1">
      <c r="B24" s="23" t="inlineStr">
        <is>
          <t>1</t>
        </is>
      </c>
      <c r="C24" s="24" t="inlineStr">
        <is>
          <t>Buka tab CETAK</t>
        </is>
      </c>
      <c r="D24" s="12" t="inlineStr">
        <is>
          <t>Fail &gt; Cetak, pilih Helaian semasa, A4, Landscape, Muat ke lebar. Dua muka: muka 1 markah sembilan komponen, muka 2 penalti, justifikasi dan perakuan.</t>
        </is>
      </c>
    </row>
    <row r="25" ht="36" customHeight="1">
      <c r="B25" s="23" t="inlineStr">
        <is>
          <t>2</t>
        </is>
      </c>
      <c r="C25" s="25" t="inlineStr">
        <is>
          <t>Isi dengan pen</t>
        </is>
      </c>
      <c r="D25" s="14" t="inlineStr">
        <is>
          <t>Hakim mengisi dengan pen dan menandatangani. Urusetia Kehakiman menaip semula ke borang komputer atau terus ke fail Rumusan.</t>
        </is>
      </c>
    </row>
    <row r="26" ht="36" customHeight="1">
      <c r="B26" s="23" t="inlineStr">
        <is>
          <t>3</t>
        </is>
      </c>
      <c r="C26" s="24" t="inlineStr">
        <is>
          <t>Borang kosong</t>
        </is>
      </c>
      <c r="D26" s="12" t="inlineStr">
        <is>
          <t>Tab CETAK ialah borang kosong yang sama susunan dengan PEMARKAHAN dan tidak mengandungi formula.</t>
        </is>
      </c>
    </row>
    <row r="28" ht="26" customHeight="1">
      <c r="B28" s="26" t="inlineStr">
        <is>
          <t>PENGIRAAN</t>
        </is>
      </c>
      <c r="C28" s="27" t="n"/>
      <c r="D28" s="27" t="n"/>
    </row>
    <row r="29" ht="36" customHeight="1">
      <c r="B29" s="28" t="inlineStr">
        <is>
          <t>1</t>
        </is>
      </c>
      <c r="C29" s="29" t="inlineStr">
        <is>
          <t>Formula</t>
        </is>
      </c>
      <c r="D29" s="12" t="inlineStr">
        <is>
          <t>JUMLAH AKHIR = jumlah selepas peraturan komponen tolak penalti, tidak kurang daripada 0.</t>
        </is>
      </c>
    </row>
    <row r="30" ht="36" customHeight="1">
      <c r="B30" s="28" t="inlineStr">
        <is>
          <t>2</t>
        </is>
      </c>
      <c r="C30" s="30" t="inlineStr">
        <is>
          <t>Rujukan</t>
        </is>
      </c>
      <c r="D30" s="14" t="inlineStr">
        <is>
          <t>Garis Panduan CDKK 2026 Seksyen 15 hingga 17, penalti Seksyen 16. Jika berlaku percanggahan, Garis Panduan menang.</t>
        </is>
      </c>
    </row>
    <row r="32" ht="26" customHeight="1">
      <c r="B32" s="31" t="inlineStr">
        <is>
          <t>PERLINDUNGAN SEL (DISYORKAN)</t>
        </is>
      </c>
      <c r="C32" s="32" t="n"/>
      <c r="D32" s="32" t="n"/>
    </row>
    <row r="33" ht="36" customHeight="1">
      <c r="B33" s="33" t="inlineStr">
        <is>
          <t>1</t>
        </is>
      </c>
      <c r="C33" s="34" t="inlineStr">
        <is>
          <t>Lindungi formula</t>
        </is>
      </c>
      <c r="D33" s="12" t="inlineStr">
        <is>
          <t>Fail dibina tanpa perlindungan sel supaya hakim tidak terkunci. Untuk melindungi: pilih lajur U hingga Y dan baris Maksimum, Data &gt; Lindungi helaian dan julat &gt; Papar amaran apabila mengedit julat ini.</t>
        </is>
      </c>
    </row>
  </sheetData>
  <mergeCells count="8">
    <mergeCell ref="B10:D10"/>
    <mergeCell ref="A1:D1"/>
    <mergeCell ref="B28:D28"/>
    <mergeCell ref="B5:D5"/>
    <mergeCell ref="B23:D23"/>
    <mergeCell ref="B32:D32"/>
    <mergeCell ref="A2:D2"/>
    <mergeCell ref="B20:D2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DB2777"/>
    <outlinePr summaryBelow="1" summaryRight="1"/>
    <pageSetUpPr fitToPage="1"/>
  </sheetPr>
  <dimension ref="A1:Y33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28" customWidth="1" min="19" max="19"/>
    <col width="34" customWidth="1" min="20" max="20"/>
    <col width="12" customWidth="1" min="21" max="21"/>
    <col width="12" customWidth="1" min="22" max="22"/>
    <col width="12" customWidth="1" min="23" max="23"/>
    <col width="13" customWidth="1" min="24" max="24"/>
    <col width="22" customWidth="1" min="25" max="25"/>
  </cols>
  <sheetData>
    <row r="1" ht="32" customHeight="1">
      <c r="A1" s="1" t="inlineStr">
        <is>
          <t>BORANG PEMARKAHAN PANEL HAKIM  |  CDKK @FESMA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24" customHeight="1">
      <c r="A2" s="3" t="inlineStr">
        <is>
          <t>Alternatif sandaran. Sembilan komponen, 100 markah. Markah DIPILIH daripada dropdown (tidak boleh ditaip). Sel KUNING dan warna komponen = pilih/isi. Sel BIRU = formula, jangan taip.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26" customHeight="1">
      <c r="A3" s="35" t="inlineStr">
        <is>
          <t>Kod hakim</t>
        </is>
      </c>
      <c r="B3" s="36" t="n"/>
      <c r="C3" s="37" t="inlineStr">
        <is>
          <t>H1</t>
        </is>
      </c>
      <c r="D3" s="38" t="inlineStr">
        <is>
          <t>Peranan</t>
        </is>
      </c>
      <c r="E3" s="36" t="n"/>
      <c r="F3" s="39">
        <f>IF(C3="H1","Ketua Hakim",IF(OR(C3="H2",C3="H3"),"Panel Hakim",""))</f>
        <v/>
      </c>
      <c r="G3" s="40" t="n"/>
      <c r="H3" s="38" t="inlineStr">
        <is>
          <t>Nama hakim</t>
        </is>
      </c>
      <c r="I3" s="36" t="n"/>
      <c r="J3" s="41" t="n"/>
      <c r="K3" s="42" t="n"/>
      <c r="L3" s="42" t="n"/>
      <c r="M3" s="42" t="n"/>
      <c r="N3" s="38" t="inlineStr">
        <is>
          <t>Tarikh</t>
        </is>
      </c>
      <c r="O3" s="36" t="n"/>
      <c r="P3" s="43" t="n"/>
      <c r="Q3" s="42" t="n"/>
    </row>
    <row r="4" ht="6" customHeight="1">
      <c r="A4" s="5" t="n"/>
      <c r="B4" s="6" t="n"/>
      <c r="C4" s="7" t="n"/>
      <c r="D4" s="8" t="n"/>
      <c r="E4" s="27" t="n"/>
      <c r="F4" s="32" t="n"/>
      <c r="G4" s="44" t="n"/>
      <c r="H4" s="45" t="n"/>
      <c r="I4" s="46" t="n"/>
      <c r="J4" s="5" t="n"/>
      <c r="K4" s="6" t="n"/>
      <c r="L4" s="7" t="n"/>
      <c r="M4" s="8" t="n"/>
      <c r="N4" s="27" t="n"/>
      <c r="O4" s="32" t="n"/>
      <c r="P4" s="44" t="n"/>
      <c r="Q4" s="45" t="n"/>
      <c r="R4" s="46" t="n"/>
      <c r="S4" s="5" t="n"/>
      <c r="T4" s="6" t="n"/>
      <c r="U4" s="7" t="n"/>
      <c r="V4" s="8" t="n"/>
      <c r="W4" s="27" t="n"/>
      <c r="X4" s="32" t="n"/>
      <c r="Y4" s="44" t="n"/>
    </row>
    <row r="5" ht="24" customHeight="1">
      <c r="A5" s="47" t="inlineStr">
        <is>
          <t>PASUKAN</t>
        </is>
      </c>
      <c r="B5" s="48" t="n"/>
      <c r="C5" s="48" t="n"/>
      <c r="D5" s="48" t="n"/>
      <c r="E5" s="49" t="inlineStr">
        <is>
          <t>SEMBILAN KOMPONEN (pilih markah dalam dropdown)</t>
        </is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1" t="inlineStr">
        <is>
          <t>PERATURAN KOMPONEN</t>
        </is>
      </c>
      <c r="O5" s="52" t="n"/>
      <c r="P5" s="52" t="n"/>
      <c r="Q5" s="53" t="inlineStr">
        <is>
          <t>PENALTI HAKIM</t>
        </is>
      </c>
      <c r="R5" s="54" t="n"/>
      <c r="S5" s="54" t="n"/>
      <c r="T5" s="55" t="inlineStr">
        <is>
          <t>JUSTIFIKASI</t>
        </is>
      </c>
      <c r="U5" s="56" t="inlineStr">
        <is>
          <t>DIKIRA AUTOMATIK</t>
        </is>
      </c>
      <c r="V5" s="57" t="n"/>
      <c r="W5" s="57" t="n"/>
      <c r="X5" s="57" t="n"/>
      <c r="Y5" s="57" t="n"/>
    </row>
    <row r="6" ht="48" customHeight="1">
      <c r="A6" s="58" t="inlineStr">
        <is>
          <t>Bil</t>
        </is>
      </c>
      <c r="B6" s="58" t="inlineStr">
        <is>
          <t>Negeri</t>
        </is>
      </c>
      <c r="C6" s="58" t="inlineStr">
        <is>
          <t>Pasukan</t>
        </is>
      </c>
      <c r="D6" s="58" t="inlineStr">
        <is>
          <t>Status pasukan</t>
        </is>
      </c>
      <c r="E6" s="59" t="inlineStr">
        <is>
          <t>Kreativiti konsep dan visual</t>
        </is>
      </c>
      <c r="F6" s="60" t="inlineStr">
        <is>
          <t>Kandungan, fakta dan mesej</t>
        </is>
      </c>
      <c r="G6" s="61" t="inlineStr">
        <is>
          <t>Canva</t>
        </is>
      </c>
      <c r="H6" s="62" t="inlineStr">
        <is>
          <t>AI (imej, watak, avatar)</t>
        </is>
      </c>
      <c r="I6" s="63" t="inlineStr">
        <is>
          <t>CapCut dan video</t>
        </is>
      </c>
      <c r="J6" s="64" t="inlineStr">
        <is>
          <t>Audio (lagu, muzik, suara)</t>
        </is>
      </c>
      <c r="K6" s="65" t="inlineStr">
        <is>
          <t>Etika, sumber, deklarasi AI</t>
        </is>
      </c>
      <c r="L6" s="66" t="inlineStr">
        <is>
          <t>Persembahan dan soal jawab</t>
        </is>
      </c>
      <c r="M6" s="67" t="inlineStr">
        <is>
          <t>Watak AURORA</t>
        </is>
      </c>
      <c r="N6" s="62" t="inlineStr">
        <is>
          <t>Audio senyap</t>
        </is>
      </c>
      <c r="O6" s="62" t="inlineStr">
        <is>
          <t>Tiada AURORA</t>
        </is>
      </c>
      <c r="P6" s="62" t="inlineStr">
        <is>
          <t>AURORA pegun</t>
        </is>
      </c>
      <c r="Q6" s="68" t="inlineStr">
        <is>
          <t>Penalti aset (0-3)</t>
        </is>
      </c>
      <c r="R6" s="68" t="inlineStr">
        <is>
          <t>Penalti budi bicara (0-2)</t>
        </is>
      </c>
      <c r="S6" s="61" t="inlineStr">
        <is>
          <t>Sebab penalti</t>
        </is>
      </c>
      <c r="T6" s="63" t="inlineStr">
        <is>
          <t>Justifikasi (wajib bila komponen bawah 60%)</t>
        </is>
      </c>
      <c r="U6" s="64" t="inlineStr">
        <is>
          <t>Jumlah komponen</t>
        </is>
      </c>
      <c r="V6" s="64" t="inlineStr">
        <is>
          <t>Jumlah selepas peraturan</t>
        </is>
      </c>
      <c r="W6" s="64" t="inlineStr">
        <is>
          <t>Penalti</t>
        </is>
      </c>
      <c r="X6" s="64" t="inlineStr">
        <is>
          <t>JUMLAH AKHIR</t>
        </is>
      </c>
      <c r="Y6" s="69" t="inlineStr">
        <is>
          <t>Semakan</t>
        </is>
      </c>
    </row>
    <row r="7" ht="26" customHeight="1">
      <c r="A7" s="70" t="n"/>
      <c r="B7" s="71" t="inlineStr">
        <is>
          <t>Maksimum</t>
        </is>
      </c>
      <c r="C7" s="70" t="n"/>
      <c r="D7" s="70" t="n"/>
      <c r="E7" s="72" t="n">
        <v>20</v>
      </c>
      <c r="F7" s="73" t="n">
        <v>15</v>
      </c>
      <c r="G7" s="74" t="n">
        <v>15</v>
      </c>
      <c r="H7" s="75" t="n">
        <v>10</v>
      </c>
      <c r="I7" s="76" t="n">
        <v>10</v>
      </c>
      <c r="J7" s="77" t="n">
        <v>10</v>
      </c>
      <c r="K7" s="78" t="n">
        <v>5</v>
      </c>
      <c r="L7" s="79" t="n">
        <v>10</v>
      </c>
      <c r="M7" s="80" t="n">
        <v>5</v>
      </c>
      <c r="N7" s="70" t="n"/>
      <c r="O7" s="70" t="n"/>
      <c r="P7" s="70" t="n"/>
      <c r="Q7" s="81" t="n">
        <v>3</v>
      </c>
      <c r="R7" s="81" t="n">
        <v>2</v>
      </c>
      <c r="S7" s="70" t="n"/>
      <c r="T7" s="70" t="n"/>
      <c r="U7" s="82">
        <f>SUM(E7:M7)</f>
        <v/>
      </c>
      <c r="V7" s="70" t="n"/>
      <c r="W7" s="70" t="n"/>
      <c r="X7" s="82">
        <f>U7</f>
        <v/>
      </c>
      <c r="Y7" s="70" t="n"/>
    </row>
    <row r="8" ht="26" customHeight="1">
      <c r="A8" s="83" t="n">
        <v>1</v>
      </c>
      <c r="B8" s="84" t="inlineStr">
        <is>
          <t>PERLIS</t>
        </is>
      </c>
      <c r="C8" s="24" t="inlineStr">
        <is>
          <t>NOVA</t>
        </is>
      </c>
      <c r="D8" s="85" t="inlineStr">
        <is>
          <t>Aktif</t>
        </is>
      </c>
      <c r="E8" s="72" t="n"/>
      <c r="F8" s="73" t="n"/>
      <c r="G8" s="74" t="n"/>
      <c r="H8" s="75" t="n"/>
      <c r="I8" s="76" t="n"/>
      <c r="J8" s="77" t="n"/>
      <c r="K8" s="78" t="n"/>
      <c r="L8" s="79" t="n"/>
      <c r="M8" s="80" t="n"/>
      <c r="N8" s="86" t="inlineStr">
        <is>
          <t>Tidak</t>
        </is>
      </c>
      <c r="O8" s="86" t="inlineStr">
        <is>
          <t>Tidak</t>
        </is>
      </c>
      <c r="P8" s="86" t="inlineStr">
        <is>
          <t>Tidak</t>
        </is>
      </c>
      <c r="Q8" s="81" t="n"/>
      <c r="R8" s="81" t="n"/>
      <c r="S8" s="87" t="n"/>
      <c r="T8" s="88" t="n"/>
      <c r="U8" s="89">
        <f>IF(AND(D8="Aktif",COUNT(E8:M8)=9),SUM(E8:M8),"")</f>
        <v/>
      </c>
      <c r="V8" s="90">
        <f>IF(U8="","",U8-J8-M8+IF(N8="Ya",0,J8)+IF(O8="Ya",0,IF(P8="Ya",MIN(M8,2),M8)))</f>
        <v/>
      </c>
      <c r="W8" s="91">
        <f>IF(U8="","",SUM(Q8:R8))</f>
        <v/>
      </c>
      <c r="X8" s="92">
        <f>IF(V8="","",MAX(0,V8-W8))</f>
        <v/>
      </c>
      <c r="Y8" s="93">
        <f>IF(D8&lt;&gt;"Aktif","Dikecualikan",IF(COUNTA(E8:M8)=0,"Belum diisi",IF(COUNT(E8:M8)&lt;9,"Belum lengkap",IF(OR(SUMPRODUCT((E8:M8&gt;$E$7:$M$7)*1)&gt;0,SUMPRODUCT((E8:M8&lt;0)*1)&gt;0,SUMPRODUCT((E8:M8&lt;&gt;INT(E8:M8))*1)&gt;0,N(Q8)&gt;3,N(R8)&gt;2),"MELEBIHI HAD",IF(AND(SUMPRODUCT((E8:M8&lt;0.6*$E$7:$M$7)*1)&gt;0,T8=""),"JUSTIFIKASI WAJIB",IF(AND(SUM(Q8:R8)&gt;0,S8=""),"SEBAB PENALTI WAJIB","LENGKAP"))))))</f>
        <v/>
      </c>
    </row>
    <row r="9" ht="26" customHeight="1">
      <c r="A9" s="94" t="n">
        <v>2</v>
      </c>
      <c r="B9" s="84" t="inlineStr">
        <is>
          <t>KEDAH</t>
        </is>
      </c>
      <c r="C9" s="24" t="inlineStr">
        <is>
          <t>KDH BUDDY</t>
        </is>
      </c>
      <c r="D9" s="85" t="inlineStr">
        <is>
          <t>Aktif</t>
        </is>
      </c>
      <c r="E9" s="72" t="n"/>
      <c r="F9" s="73" t="n"/>
      <c r="G9" s="74" t="n"/>
      <c r="H9" s="75" t="n"/>
      <c r="I9" s="76" t="n"/>
      <c r="J9" s="77" t="n"/>
      <c r="K9" s="78" t="n"/>
      <c r="L9" s="79" t="n"/>
      <c r="M9" s="80" t="n"/>
      <c r="N9" s="86" t="inlineStr">
        <is>
          <t>Tidak</t>
        </is>
      </c>
      <c r="O9" s="86" t="inlineStr">
        <is>
          <t>Tidak</t>
        </is>
      </c>
      <c r="P9" s="86" t="inlineStr">
        <is>
          <t>Tidak</t>
        </is>
      </c>
      <c r="Q9" s="81" t="n"/>
      <c r="R9" s="81" t="n"/>
      <c r="S9" s="87" t="n"/>
      <c r="T9" s="88" t="n"/>
      <c r="U9" s="89">
        <f>IF(AND(D9="Aktif",COUNT(E9:M9)=9),SUM(E9:M9),"")</f>
        <v/>
      </c>
      <c r="V9" s="90">
        <f>IF(U9="","",U9-J9-M9+IF(N9="Ya",0,J9)+IF(O9="Ya",0,IF(P9="Ya",MIN(M9,2),M9)))</f>
        <v/>
      </c>
      <c r="W9" s="91">
        <f>IF(U9="","",SUM(Q9:R9))</f>
        <v/>
      </c>
      <c r="X9" s="92">
        <f>IF(V9="","",MAX(0,V9-W9))</f>
        <v/>
      </c>
      <c r="Y9" s="93">
        <f>IF(D9&lt;&gt;"Aktif","Dikecualikan",IF(COUNTA(E9:M9)=0,"Belum diisi",IF(COUNT(E9:M9)&lt;9,"Belum lengkap",IF(OR(SUMPRODUCT((E9:M9&gt;$E$7:$M$7)*1)&gt;0,SUMPRODUCT((E9:M9&lt;0)*1)&gt;0,SUMPRODUCT((E9:M9&lt;&gt;INT(E9:M9))*1)&gt;0,N(Q9)&gt;3,N(R9)&gt;2),"MELEBIHI HAD",IF(AND(SUMPRODUCT((E9:M9&lt;0.6*$E$7:$M$7)*1)&gt;0,T9=""),"JUSTIFIKASI WAJIB",IF(AND(SUM(Q9:R9)&gt;0,S9=""),"SEBAB PENALTI WAJIB","LENGKAP"))))))</f>
        <v/>
      </c>
    </row>
    <row r="10" ht="26" customHeight="1">
      <c r="A10" s="95" t="n">
        <v>3</v>
      </c>
      <c r="B10" s="84" t="inlineStr">
        <is>
          <t>PULAU PINANG</t>
        </is>
      </c>
      <c r="C10" s="24" t="inlineStr">
        <is>
          <t>RAFIQ RANGERS</t>
        </is>
      </c>
      <c r="D10" s="85" t="inlineStr">
        <is>
          <t>Aktif</t>
        </is>
      </c>
      <c r="E10" s="72" t="n"/>
      <c r="F10" s="73" t="n"/>
      <c r="G10" s="74" t="n"/>
      <c r="H10" s="75" t="n"/>
      <c r="I10" s="76" t="n"/>
      <c r="J10" s="77" t="n"/>
      <c r="K10" s="78" t="n"/>
      <c r="L10" s="79" t="n"/>
      <c r="M10" s="80" t="n"/>
      <c r="N10" s="86" t="inlineStr">
        <is>
          <t>Tidak</t>
        </is>
      </c>
      <c r="O10" s="86" t="inlineStr">
        <is>
          <t>Tidak</t>
        </is>
      </c>
      <c r="P10" s="86" t="inlineStr">
        <is>
          <t>Tidak</t>
        </is>
      </c>
      <c r="Q10" s="81" t="n"/>
      <c r="R10" s="81" t="n"/>
      <c r="S10" s="87" t="n"/>
      <c r="T10" s="88" t="n"/>
      <c r="U10" s="89">
        <f>IF(AND(D10="Aktif",COUNT(E10:M10)=9),SUM(E10:M10),"")</f>
        <v/>
      </c>
      <c r="V10" s="90">
        <f>IF(U10="","",U10-J10-M10+IF(N10="Ya",0,J10)+IF(O10="Ya",0,IF(P10="Ya",MIN(M10,2),M10)))</f>
        <v/>
      </c>
      <c r="W10" s="91">
        <f>IF(U10="","",SUM(Q10:R10))</f>
        <v/>
      </c>
      <c r="X10" s="92">
        <f>IF(V10="","",MAX(0,V10-W10))</f>
        <v/>
      </c>
      <c r="Y10" s="93">
        <f>IF(D10&lt;&gt;"Aktif","Dikecualikan",IF(COUNTA(E10:M10)=0,"Belum diisi",IF(COUNT(E10:M10)&lt;9,"Belum lengkap",IF(OR(SUMPRODUCT((E10:M10&gt;$E$7:$M$7)*1)&gt;0,SUMPRODUCT((E10:M10&lt;0)*1)&gt;0,SUMPRODUCT((E10:M10&lt;&gt;INT(E10:M10))*1)&gt;0,N(Q10)&gt;3,N(R10)&gt;2),"MELEBIHI HAD",IF(AND(SUMPRODUCT((E10:M10&lt;0.6*$E$7:$M$7)*1)&gt;0,T10=""),"JUSTIFIKASI WAJIB",IF(AND(SUM(Q10:R10)&gt;0,S10=""),"SEBAB PENALTI WAJIB","LENGKAP"))))))</f>
        <v/>
      </c>
    </row>
    <row r="11" ht="26" customHeight="1">
      <c r="A11" s="96" t="n">
        <v>4</v>
      </c>
      <c r="B11" s="84" t="inlineStr">
        <is>
          <t>KELANTAN</t>
        </is>
      </c>
      <c r="C11" s="24" t="inlineStr">
        <is>
          <t>SHE ATE</t>
        </is>
      </c>
      <c r="D11" s="85" t="inlineStr">
        <is>
          <t>Aktif</t>
        </is>
      </c>
      <c r="E11" s="72" t="n"/>
      <c r="F11" s="73" t="n"/>
      <c r="G11" s="74" t="n"/>
      <c r="H11" s="75" t="n"/>
      <c r="I11" s="76" t="n"/>
      <c r="J11" s="77" t="n"/>
      <c r="K11" s="78" t="n"/>
      <c r="L11" s="79" t="n"/>
      <c r="M11" s="80" t="n"/>
      <c r="N11" s="86" t="inlineStr">
        <is>
          <t>Tidak</t>
        </is>
      </c>
      <c r="O11" s="86" t="inlineStr">
        <is>
          <t>Tidak</t>
        </is>
      </c>
      <c r="P11" s="86" t="inlineStr">
        <is>
          <t>Tidak</t>
        </is>
      </c>
      <c r="Q11" s="81" t="n"/>
      <c r="R11" s="81" t="n"/>
      <c r="S11" s="87" t="n"/>
      <c r="T11" s="88" t="n"/>
      <c r="U11" s="89">
        <f>IF(AND(D11="Aktif",COUNT(E11:M11)=9),SUM(E11:M11),"")</f>
        <v/>
      </c>
      <c r="V11" s="90">
        <f>IF(U11="","",U11-J11-M11+IF(N11="Ya",0,J11)+IF(O11="Ya",0,IF(P11="Ya",MIN(M11,2),M11)))</f>
        <v/>
      </c>
      <c r="W11" s="91">
        <f>IF(U11="","",SUM(Q11:R11))</f>
        <v/>
      </c>
      <c r="X11" s="92">
        <f>IF(V11="","",MAX(0,V11-W11))</f>
        <v/>
      </c>
      <c r="Y11" s="93">
        <f>IF(D11&lt;&gt;"Aktif","Dikecualikan",IF(COUNTA(E11:M11)=0,"Belum diisi",IF(COUNT(E11:M11)&lt;9,"Belum lengkap",IF(OR(SUMPRODUCT((E11:M11&gt;$E$7:$M$7)*1)&gt;0,SUMPRODUCT((E11:M11&lt;0)*1)&gt;0,SUMPRODUCT((E11:M11&lt;&gt;INT(E11:M11))*1)&gt;0,N(Q11)&gt;3,N(R11)&gt;2),"MELEBIHI HAD",IF(AND(SUMPRODUCT((E11:M11&lt;0.6*$E$7:$M$7)*1)&gt;0,T11=""),"JUSTIFIKASI WAJIB",IF(AND(SUM(Q11:R11)&gt;0,S11=""),"SEBAB PENALTI WAJIB","LENGKAP"))))))</f>
        <v/>
      </c>
    </row>
    <row r="12" ht="26" customHeight="1">
      <c r="A12" s="97" t="n">
        <v>5</v>
      </c>
      <c r="B12" s="84" t="inlineStr">
        <is>
          <t>TERENGGANU</t>
        </is>
      </c>
      <c r="C12" s="24" t="inlineStr">
        <is>
          <t>WIRAWATI CYBER</t>
        </is>
      </c>
      <c r="D12" s="85" t="inlineStr">
        <is>
          <t>Aktif</t>
        </is>
      </c>
      <c r="E12" s="72" t="n"/>
      <c r="F12" s="73" t="n"/>
      <c r="G12" s="74" t="n"/>
      <c r="H12" s="75" t="n"/>
      <c r="I12" s="76" t="n"/>
      <c r="J12" s="77" t="n"/>
      <c r="K12" s="78" t="n"/>
      <c r="L12" s="79" t="n"/>
      <c r="M12" s="80" t="n"/>
      <c r="N12" s="86" t="inlineStr">
        <is>
          <t>Tidak</t>
        </is>
      </c>
      <c r="O12" s="86" t="inlineStr">
        <is>
          <t>Tidak</t>
        </is>
      </c>
      <c r="P12" s="86" t="inlineStr">
        <is>
          <t>Tidak</t>
        </is>
      </c>
      <c r="Q12" s="81" t="n"/>
      <c r="R12" s="81" t="n"/>
      <c r="S12" s="87" t="n"/>
      <c r="T12" s="88" t="n"/>
      <c r="U12" s="89">
        <f>IF(AND(D12="Aktif",COUNT(E12:M12)=9),SUM(E12:M12),"")</f>
        <v/>
      </c>
      <c r="V12" s="90">
        <f>IF(U12="","",U12-J12-M12+IF(N12="Ya",0,J12)+IF(O12="Ya",0,IF(P12="Ya",MIN(M12,2),M12)))</f>
        <v/>
      </c>
      <c r="W12" s="91">
        <f>IF(U12="","",SUM(Q12:R12))</f>
        <v/>
      </c>
      <c r="X12" s="92">
        <f>IF(V12="","",MAX(0,V12-W12))</f>
        <v/>
      </c>
      <c r="Y12" s="93">
        <f>IF(D12&lt;&gt;"Aktif","Dikecualikan",IF(COUNTA(E12:M12)=0,"Belum diisi",IF(COUNT(E12:M12)&lt;9,"Belum lengkap",IF(OR(SUMPRODUCT((E12:M12&gt;$E$7:$M$7)*1)&gt;0,SUMPRODUCT((E12:M12&lt;0)*1)&gt;0,SUMPRODUCT((E12:M12&lt;&gt;INT(E12:M12))*1)&gt;0,N(Q12)&gt;3,N(R12)&gt;2),"MELEBIHI HAD",IF(AND(SUMPRODUCT((E12:M12&lt;0.6*$E$7:$M$7)*1)&gt;0,T12=""),"JUSTIFIKASI WAJIB",IF(AND(SUM(Q12:R12)&gt;0,S12=""),"SEBAB PENALTI WAJIB","LENGKAP"))))))</f>
        <v/>
      </c>
    </row>
    <row r="13" ht="26" customHeight="1">
      <c r="A13" s="98" t="n">
        <v>6</v>
      </c>
      <c r="B13" s="84" t="inlineStr">
        <is>
          <t>PAHANG</t>
        </is>
      </c>
      <c r="C13" s="24" t="inlineStr">
        <is>
          <t>YH SRIKANDI</t>
        </is>
      </c>
      <c r="D13" s="85" t="inlineStr">
        <is>
          <t>Aktif</t>
        </is>
      </c>
      <c r="E13" s="72" t="n"/>
      <c r="F13" s="73" t="n"/>
      <c r="G13" s="74" t="n"/>
      <c r="H13" s="75" t="n"/>
      <c r="I13" s="76" t="n"/>
      <c r="J13" s="77" t="n"/>
      <c r="K13" s="78" t="n"/>
      <c r="L13" s="79" t="n"/>
      <c r="M13" s="80" t="n"/>
      <c r="N13" s="86" t="inlineStr">
        <is>
          <t>Tidak</t>
        </is>
      </c>
      <c r="O13" s="86" t="inlineStr">
        <is>
          <t>Tidak</t>
        </is>
      </c>
      <c r="P13" s="86" t="inlineStr">
        <is>
          <t>Tidak</t>
        </is>
      </c>
      <c r="Q13" s="81" t="n"/>
      <c r="R13" s="81" t="n"/>
      <c r="S13" s="87" t="n"/>
      <c r="T13" s="88" t="n"/>
      <c r="U13" s="89">
        <f>IF(AND(D13="Aktif",COUNT(E13:M13)=9),SUM(E13:M13),"")</f>
        <v/>
      </c>
      <c r="V13" s="90">
        <f>IF(U13="","",U13-J13-M13+IF(N13="Ya",0,J13)+IF(O13="Ya",0,IF(P13="Ya",MIN(M13,2),M13)))</f>
        <v/>
      </c>
      <c r="W13" s="91">
        <f>IF(U13="","",SUM(Q13:R13))</f>
        <v/>
      </c>
      <c r="X13" s="92">
        <f>IF(V13="","",MAX(0,V13-W13))</f>
        <v/>
      </c>
      <c r="Y13" s="93">
        <f>IF(D13&lt;&gt;"Aktif","Dikecualikan",IF(COUNTA(E13:M13)=0,"Belum diisi",IF(COUNT(E13:M13)&lt;9,"Belum lengkap",IF(OR(SUMPRODUCT((E13:M13&gt;$E$7:$M$7)*1)&gt;0,SUMPRODUCT((E13:M13&lt;0)*1)&gt;0,SUMPRODUCT((E13:M13&lt;&gt;INT(E13:M13))*1)&gt;0,N(Q13)&gt;3,N(R13)&gt;2),"MELEBIHI HAD",IF(AND(SUMPRODUCT((E13:M13&lt;0.6*$E$7:$M$7)*1)&gt;0,T13=""),"JUSTIFIKASI WAJIB",IF(AND(SUM(Q13:R13)&gt;0,S13=""),"SEBAB PENALTI WAJIB","LENGKAP"))))))</f>
        <v/>
      </c>
    </row>
    <row r="14" ht="26" customHeight="1">
      <c r="A14" s="99" t="n">
        <v>7</v>
      </c>
      <c r="B14" s="84" t="inlineStr">
        <is>
          <t>NEGERI SEMBILAN</t>
        </is>
      </c>
      <c r="C14" s="24" t="inlineStr">
        <is>
          <t>WAGHIH TECHNOVA</t>
        </is>
      </c>
      <c r="D14" s="85" t="inlineStr">
        <is>
          <t>Aktif</t>
        </is>
      </c>
      <c r="E14" s="72" t="n"/>
      <c r="F14" s="73" t="n"/>
      <c r="G14" s="74" t="n"/>
      <c r="H14" s="75" t="n"/>
      <c r="I14" s="76" t="n"/>
      <c r="J14" s="77" t="n"/>
      <c r="K14" s="78" t="n"/>
      <c r="L14" s="79" t="n"/>
      <c r="M14" s="80" t="n"/>
      <c r="N14" s="86" t="inlineStr">
        <is>
          <t>Tidak</t>
        </is>
      </c>
      <c r="O14" s="86" t="inlineStr">
        <is>
          <t>Tidak</t>
        </is>
      </c>
      <c r="P14" s="86" t="inlineStr">
        <is>
          <t>Tidak</t>
        </is>
      </c>
      <c r="Q14" s="81" t="n"/>
      <c r="R14" s="81" t="n"/>
      <c r="S14" s="87" t="n"/>
      <c r="T14" s="88" t="n"/>
      <c r="U14" s="89">
        <f>IF(AND(D14="Aktif",COUNT(E14:M14)=9),SUM(E14:M14),"")</f>
        <v/>
      </c>
      <c r="V14" s="90">
        <f>IF(U14="","",U14-J14-M14+IF(N14="Ya",0,J14)+IF(O14="Ya",0,IF(P14="Ya",MIN(M14,2),M14)))</f>
        <v/>
      </c>
      <c r="W14" s="91">
        <f>IF(U14="","",SUM(Q14:R14))</f>
        <v/>
      </c>
      <c r="X14" s="92">
        <f>IF(V14="","",MAX(0,V14-W14))</f>
        <v/>
      </c>
      <c r="Y14" s="93">
        <f>IF(D14&lt;&gt;"Aktif","Dikecualikan",IF(COUNTA(E14:M14)=0,"Belum diisi",IF(COUNT(E14:M14)&lt;9,"Belum lengkap",IF(OR(SUMPRODUCT((E14:M14&gt;$E$7:$M$7)*1)&gt;0,SUMPRODUCT((E14:M14&lt;0)*1)&gt;0,SUMPRODUCT((E14:M14&lt;&gt;INT(E14:M14))*1)&gt;0,N(Q14)&gt;3,N(R14)&gt;2),"MELEBIHI HAD",IF(AND(SUMPRODUCT((E14:M14&lt;0.6*$E$7:$M$7)*1)&gt;0,T14=""),"JUSTIFIKASI WAJIB",IF(AND(SUM(Q14:R14)&gt;0,S14=""),"SEBAB PENALTI WAJIB","LENGKAP"))))))</f>
        <v/>
      </c>
    </row>
    <row r="15" ht="26" customHeight="1">
      <c r="A15" s="100" t="n">
        <v>8</v>
      </c>
      <c r="B15" s="84" t="inlineStr">
        <is>
          <t>MELAKA</t>
        </is>
      </c>
      <c r="C15" s="24" t="inlineStr">
        <is>
          <t>TUN TEJA</t>
        </is>
      </c>
      <c r="D15" s="85" t="inlineStr">
        <is>
          <t>Aktif</t>
        </is>
      </c>
      <c r="E15" s="72" t="n"/>
      <c r="F15" s="73" t="n"/>
      <c r="G15" s="74" t="n"/>
      <c r="H15" s="75" t="n"/>
      <c r="I15" s="76" t="n"/>
      <c r="J15" s="77" t="n"/>
      <c r="K15" s="78" t="n"/>
      <c r="L15" s="79" t="n"/>
      <c r="M15" s="80" t="n"/>
      <c r="N15" s="86" t="inlineStr">
        <is>
          <t>Tidak</t>
        </is>
      </c>
      <c r="O15" s="86" t="inlineStr">
        <is>
          <t>Tidak</t>
        </is>
      </c>
      <c r="P15" s="86" t="inlineStr">
        <is>
          <t>Tidak</t>
        </is>
      </c>
      <c r="Q15" s="81" t="n"/>
      <c r="R15" s="81" t="n"/>
      <c r="S15" s="87" t="n"/>
      <c r="T15" s="88" t="n"/>
      <c r="U15" s="89">
        <f>IF(AND(D15="Aktif",COUNT(E15:M15)=9),SUM(E15:M15),"")</f>
        <v/>
      </c>
      <c r="V15" s="90">
        <f>IF(U15="","",U15-J15-M15+IF(N15="Ya",0,J15)+IF(O15="Ya",0,IF(P15="Ya",MIN(M15,2),M15)))</f>
        <v/>
      </c>
      <c r="W15" s="91">
        <f>IF(U15="","",SUM(Q15:R15))</f>
        <v/>
      </c>
      <c r="X15" s="92">
        <f>IF(V15="","",MAX(0,V15-W15))</f>
        <v/>
      </c>
      <c r="Y15" s="93">
        <f>IF(D15&lt;&gt;"Aktif","Dikecualikan",IF(COUNTA(E15:M15)=0,"Belum diisi",IF(COUNT(E15:M15)&lt;9,"Belum lengkap",IF(OR(SUMPRODUCT((E15:M15&gt;$E$7:$M$7)*1)&gt;0,SUMPRODUCT((E15:M15&lt;0)*1)&gt;0,SUMPRODUCT((E15:M15&lt;&gt;INT(E15:M15))*1)&gt;0,N(Q15)&gt;3,N(R15)&gt;2),"MELEBIHI HAD",IF(AND(SUMPRODUCT((E15:M15&lt;0.6*$E$7:$M$7)*1)&gt;0,T15=""),"JUSTIFIKASI WAJIB",IF(AND(SUM(Q15:R15)&gt;0,S15=""),"SEBAB PENALTI WAJIB","LENGKAP"))))))</f>
        <v/>
      </c>
    </row>
    <row r="16" ht="26" customHeight="1">
      <c r="A16" s="101" t="n">
        <v>9</v>
      </c>
      <c r="B16" s="84" t="inlineStr">
        <is>
          <t>PERAK</t>
        </is>
      </c>
      <c r="C16" s="24" t="inlineStr">
        <is>
          <t>VORTEX</t>
        </is>
      </c>
      <c r="D16" s="85" t="inlineStr">
        <is>
          <t>Aktif</t>
        </is>
      </c>
      <c r="E16" s="72" t="n"/>
      <c r="F16" s="73" t="n"/>
      <c r="G16" s="74" t="n"/>
      <c r="H16" s="75" t="n"/>
      <c r="I16" s="76" t="n"/>
      <c r="J16" s="77" t="n"/>
      <c r="K16" s="78" t="n"/>
      <c r="L16" s="79" t="n"/>
      <c r="M16" s="80" t="n"/>
      <c r="N16" s="86" t="inlineStr">
        <is>
          <t>Tidak</t>
        </is>
      </c>
      <c r="O16" s="86" t="inlineStr">
        <is>
          <t>Tidak</t>
        </is>
      </c>
      <c r="P16" s="86" t="inlineStr">
        <is>
          <t>Tidak</t>
        </is>
      </c>
      <c r="Q16" s="81" t="n"/>
      <c r="R16" s="81" t="n"/>
      <c r="S16" s="87" t="n"/>
      <c r="T16" s="88" t="n"/>
      <c r="U16" s="89">
        <f>IF(AND(D16="Aktif",COUNT(E16:M16)=9),SUM(E16:M16),"")</f>
        <v/>
      </c>
      <c r="V16" s="90">
        <f>IF(U16="","",U16-J16-M16+IF(N16="Ya",0,J16)+IF(O16="Ya",0,IF(P16="Ya",MIN(M16,2),M16)))</f>
        <v/>
      </c>
      <c r="W16" s="91">
        <f>IF(U16="","",SUM(Q16:R16))</f>
        <v/>
      </c>
      <c r="X16" s="92">
        <f>IF(V16="","",MAX(0,V16-W16))</f>
        <v/>
      </c>
      <c r="Y16" s="93">
        <f>IF(D16&lt;&gt;"Aktif","Dikecualikan",IF(COUNTA(E16:M16)=0,"Belum diisi",IF(COUNT(E16:M16)&lt;9,"Belum lengkap",IF(OR(SUMPRODUCT((E16:M16&gt;$E$7:$M$7)*1)&gt;0,SUMPRODUCT((E16:M16&lt;0)*1)&gt;0,SUMPRODUCT((E16:M16&lt;&gt;INT(E16:M16))*1)&gt;0,N(Q16)&gt;3,N(R16)&gt;2),"MELEBIHI HAD",IF(AND(SUMPRODUCT((E16:M16&lt;0.6*$E$7:$M$7)*1)&gt;0,T16=""),"JUSTIFIKASI WAJIB",IF(AND(SUM(Q16:R16)&gt;0,S16=""),"SEBAB PENALTI WAJIB","LENGKAP"))))))</f>
        <v/>
      </c>
    </row>
    <row r="17" ht="26" customHeight="1">
      <c r="A17" s="83" t="n">
        <v>10</v>
      </c>
      <c r="B17" s="84" t="inlineStr">
        <is>
          <t>SELANGOR</t>
        </is>
      </c>
      <c r="C17" s="24" t="inlineStr">
        <is>
          <t>BYTESYNC</t>
        </is>
      </c>
      <c r="D17" s="85" t="inlineStr">
        <is>
          <t>Aktif</t>
        </is>
      </c>
      <c r="E17" s="72" t="n"/>
      <c r="F17" s="73" t="n"/>
      <c r="G17" s="74" t="n"/>
      <c r="H17" s="75" t="n"/>
      <c r="I17" s="76" t="n"/>
      <c r="J17" s="77" t="n"/>
      <c r="K17" s="78" t="n"/>
      <c r="L17" s="79" t="n"/>
      <c r="M17" s="80" t="n"/>
      <c r="N17" s="86" t="inlineStr">
        <is>
          <t>Tidak</t>
        </is>
      </c>
      <c r="O17" s="86" t="inlineStr">
        <is>
          <t>Tidak</t>
        </is>
      </c>
      <c r="P17" s="86" t="inlineStr">
        <is>
          <t>Tidak</t>
        </is>
      </c>
      <c r="Q17" s="81" t="n"/>
      <c r="R17" s="81" t="n"/>
      <c r="S17" s="87" t="n"/>
      <c r="T17" s="88" t="n"/>
      <c r="U17" s="89">
        <f>IF(AND(D17="Aktif",COUNT(E17:M17)=9),SUM(E17:M17),"")</f>
        <v/>
      </c>
      <c r="V17" s="90">
        <f>IF(U17="","",U17-J17-M17+IF(N17="Ya",0,J17)+IF(O17="Ya",0,IF(P17="Ya",MIN(M17,2),M17)))</f>
        <v/>
      </c>
      <c r="W17" s="91">
        <f>IF(U17="","",SUM(Q17:R17))</f>
        <v/>
      </c>
      <c r="X17" s="92">
        <f>IF(V17="","",MAX(0,V17-W17))</f>
        <v/>
      </c>
      <c r="Y17" s="93">
        <f>IF(D17&lt;&gt;"Aktif","Dikecualikan",IF(COUNTA(E17:M17)=0,"Belum diisi",IF(COUNT(E17:M17)&lt;9,"Belum lengkap",IF(OR(SUMPRODUCT((E17:M17&gt;$E$7:$M$7)*1)&gt;0,SUMPRODUCT((E17:M17&lt;0)*1)&gt;0,SUMPRODUCT((E17:M17&lt;&gt;INT(E17:M17))*1)&gt;0,N(Q17)&gt;3,N(R17)&gt;2),"MELEBIHI HAD",IF(AND(SUMPRODUCT((E17:M17&lt;0.6*$E$7:$M$7)*1)&gt;0,T17=""),"JUSTIFIKASI WAJIB",IF(AND(SUM(Q17:R17)&gt;0,S17=""),"SEBAB PENALTI WAJIB","LENGKAP"))))))</f>
        <v/>
      </c>
    </row>
    <row r="18" ht="26" customHeight="1">
      <c r="A18" s="94" t="n">
        <v>11</v>
      </c>
      <c r="B18" s="84" t="inlineStr">
        <is>
          <t>JOHOR</t>
        </is>
      </c>
      <c r="C18" s="24" t="inlineStr">
        <is>
          <t>DWI KARYA</t>
        </is>
      </c>
      <c r="D18" s="85" t="inlineStr">
        <is>
          <t>Aktif</t>
        </is>
      </c>
      <c r="E18" s="72" t="n"/>
      <c r="F18" s="73" t="n"/>
      <c r="G18" s="74" t="n"/>
      <c r="H18" s="75" t="n"/>
      <c r="I18" s="76" t="n"/>
      <c r="J18" s="77" t="n"/>
      <c r="K18" s="78" t="n"/>
      <c r="L18" s="79" t="n"/>
      <c r="M18" s="80" t="n"/>
      <c r="N18" s="86" t="inlineStr">
        <is>
          <t>Tidak</t>
        </is>
      </c>
      <c r="O18" s="86" t="inlineStr">
        <is>
          <t>Tidak</t>
        </is>
      </c>
      <c r="P18" s="86" t="inlineStr">
        <is>
          <t>Tidak</t>
        </is>
      </c>
      <c r="Q18" s="81" t="n"/>
      <c r="R18" s="81" t="n"/>
      <c r="S18" s="87" t="n"/>
      <c r="T18" s="88" t="n"/>
      <c r="U18" s="89">
        <f>IF(AND(D18="Aktif",COUNT(E18:M18)=9),SUM(E18:M18),"")</f>
        <v/>
      </c>
      <c r="V18" s="90">
        <f>IF(U18="","",U18-J18-M18+IF(N18="Ya",0,J18)+IF(O18="Ya",0,IF(P18="Ya",MIN(M18,2),M18)))</f>
        <v/>
      </c>
      <c r="W18" s="91">
        <f>IF(U18="","",SUM(Q18:R18))</f>
        <v/>
      </c>
      <c r="X18" s="92">
        <f>IF(V18="","",MAX(0,V18-W18))</f>
        <v/>
      </c>
      <c r="Y18" s="93">
        <f>IF(D18&lt;&gt;"Aktif","Dikecualikan",IF(COUNTA(E18:M18)=0,"Belum diisi",IF(COUNT(E18:M18)&lt;9,"Belum lengkap",IF(OR(SUMPRODUCT((E18:M18&gt;$E$7:$M$7)*1)&gt;0,SUMPRODUCT((E18:M18&lt;0)*1)&gt;0,SUMPRODUCT((E18:M18&lt;&gt;INT(E18:M18))*1)&gt;0,N(Q18)&gt;3,N(R18)&gt;2),"MELEBIHI HAD",IF(AND(SUMPRODUCT((E18:M18&lt;0.6*$E$7:$M$7)*1)&gt;0,T18=""),"JUSTIFIKASI WAJIB",IF(AND(SUM(Q18:R18)&gt;0,S18=""),"SEBAB PENALTI WAJIB","LENGKAP"))))))</f>
        <v/>
      </c>
    </row>
    <row r="19" ht="26" customHeight="1">
      <c r="A19" s="95" t="n">
        <v>12</v>
      </c>
      <c r="B19" s="84" t="inlineStr">
        <is>
          <t>WILAYAH PERSEKUTUAN</t>
        </is>
      </c>
      <c r="C19" s="24" t="inlineStr">
        <is>
          <t>SRIKANDI ULTRA</t>
        </is>
      </c>
      <c r="D19" s="85" t="inlineStr">
        <is>
          <t>Aktif</t>
        </is>
      </c>
      <c r="E19" s="72" t="n"/>
      <c r="F19" s="73" t="n"/>
      <c r="G19" s="74" t="n"/>
      <c r="H19" s="75" t="n"/>
      <c r="I19" s="76" t="n"/>
      <c r="J19" s="77" t="n"/>
      <c r="K19" s="78" t="n"/>
      <c r="L19" s="79" t="n"/>
      <c r="M19" s="80" t="n"/>
      <c r="N19" s="86" t="inlineStr">
        <is>
          <t>Tidak</t>
        </is>
      </c>
      <c r="O19" s="86" t="inlineStr">
        <is>
          <t>Tidak</t>
        </is>
      </c>
      <c r="P19" s="86" t="inlineStr">
        <is>
          <t>Tidak</t>
        </is>
      </c>
      <c r="Q19" s="81" t="n"/>
      <c r="R19" s="81" t="n"/>
      <c r="S19" s="87" t="n"/>
      <c r="T19" s="88" t="n"/>
      <c r="U19" s="89">
        <f>IF(AND(D19="Aktif",COUNT(E19:M19)=9),SUM(E19:M19),"")</f>
        <v/>
      </c>
      <c r="V19" s="90">
        <f>IF(U19="","",U19-J19-M19+IF(N19="Ya",0,J19)+IF(O19="Ya",0,IF(P19="Ya",MIN(M19,2),M19)))</f>
        <v/>
      </c>
      <c r="W19" s="91">
        <f>IF(U19="","",SUM(Q19:R19))</f>
        <v/>
      </c>
      <c r="X19" s="92">
        <f>IF(V19="","",MAX(0,V19-W19))</f>
        <v/>
      </c>
      <c r="Y19" s="93">
        <f>IF(D19&lt;&gt;"Aktif","Dikecualikan",IF(COUNTA(E19:M19)=0,"Belum diisi",IF(COUNT(E19:M19)&lt;9,"Belum lengkap",IF(OR(SUMPRODUCT((E19:M19&gt;$E$7:$M$7)*1)&gt;0,SUMPRODUCT((E19:M19&lt;0)*1)&gt;0,SUMPRODUCT((E19:M19&lt;&gt;INT(E19:M19))*1)&gt;0,N(Q19)&gt;3,N(R19)&gt;2),"MELEBIHI HAD",IF(AND(SUMPRODUCT((E19:M19&lt;0.6*$E$7:$M$7)*1)&gt;0,T19=""),"JUSTIFIKASI WAJIB",IF(AND(SUM(Q19:R19)&gt;0,S19=""),"SEBAB PENALTI WAJIB","LENGKAP"))))))</f>
        <v/>
      </c>
    </row>
    <row r="20" ht="26" customHeight="1">
      <c r="A20" s="96" t="n">
        <v>13</v>
      </c>
      <c r="B20" s="84" t="inlineStr">
        <is>
          <t>SARAWAK</t>
        </is>
      </c>
      <c r="C20" s="24" t="inlineStr">
        <is>
          <t>KENYALANG WARRIOR</t>
        </is>
      </c>
      <c r="D20" s="85" t="inlineStr">
        <is>
          <t>Aktif</t>
        </is>
      </c>
      <c r="E20" s="72" t="n"/>
      <c r="F20" s="73" t="n"/>
      <c r="G20" s="74" t="n"/>
      <c r="H20" s="75" t="n"/>
      <c r="I20" s="76" t="n"/>
      <c r="J20" s="77" t="n"/>
      <c r="K20" s="78" t="n"/>
      <c r="L20" s="79" t="n"/>
      <c r="M20" s="80" t="n"/>
      <c r="N20" s="86" t="inlineStr">
        <is>
          <t>Tidak</t>
        </is>
      </c>
      <c r="O20" s="86" t="inlineStr">
        <is>
          <t>Tidak</t>
        </is>
      </c>
      <c r="P20" s="86" t="inlineStr">
        <is>
          <t>Tidak</t>
        </is>
      </c>
      <c r="Q20" s="81" t="n"/>
      <c r="R20" s="81" t="n"/>
      <c r="S20" s="87" t="n"/>
      <c r="T20" s="88" t="n"/>
      <c r="U20" s="89">
        <f>IF(AND(D20="Aktif",COUNT(E20:M20)=9),SUM(E20:M20),"")</f>
        <v/>
      </c>
      <c r="V20" s="90">
        <f>IF(U20="","",U20-J20-M20+IF(N20="Ya",0,J20)+IF(O20="Ya",0,IF(P20="Ya",MIN(M20,2),M20)))</f>
        <v/>
      </c>
      <c r="W20" s="91">
        <f>IF(U20="","",SUM(Q20:R20))</f>
        <v/>
      </c>
      <c r="X20" s="92">
        <f>IF(V20="","",MAX(0,V20-W20))</f>
        <v/>
      </c>
      <c r="Y20" s="93">
        <f>IF(D20&lt;&gt;"Aktif","Dikecualikan",IF(COUNTA(E20:M20)=0,"Belum diisi",IF(COUNT(E20:M20)&lt;9,"Belum lengkap",IF(OR(SUMPRODUCT((E20:M20&gt;$E$7:$M$7)*1)&gt;0,SUMPRODUCT((E20:M20&lt;0)*1)&gt;0,SUMPRODUCT((E20:M20&lt;&gt;INT(E20:M20))*1)&gt;0,N(Q20)&gt;3,N(R20)&gt;2),"MELEBIHI HAD",IF(AND(SUMPRODUCT((E20:M20&lt;0.6*$E$7:$M$7)*1)&gt;0,T20=""),"JUSTIFIKASI WAJIB",IF(AND(SUM(Q20:R20)&gt;0,S20=""),"SEBAB PENALTI WAJIB","LENGKAP"))))))</f>
        <v/>
      </c>
    </row>
    <row r="21" ht="26" customHeight="1">
      <c r="A21" s="97" t="n">
        <v>14</v>
      </c>
      <c r="B21" s="84" t="inlineStr">
        <is>
          <t>SABAH</t>
        </is>
      </c>
      <c r="C21" s="24" t="inlineStr">
        <is>
          <t>BORNEO FRAME</t>
        </is>
      </c>
      <c r="D21" s="85" t="inlineStr">
        <is>
          <t>Aktif</t>
        </is>
      </c>
      <c r="E21" s="72" t="n"/>
      <c r="F21" s="73" t="n"/>
      <c r="G21" s="74" t="n"/>
      <c r="H21" s="75" t="n"/>
      <c r="I21" s="76" t="n"/>
      <c r="J21" s="77" t="n"/>
      <c r="K21" s="78" t="n"/>
      <c r="L21" s="79" t="n"/>
      <c r="M21" s="80" t="n"/>
      <c r="N21" s="86" t="inlineStr">
        <is>
          <t>Tidak</t>
        </is>
      </c>
      <c r="O21" s="86" t="inlineStr">
        <is>
          <t>Tidak</t>
        </is>
      </c>
      <c r="P21" s="86" t="inlineStr">
        <is>
          <t>Tidak</t>
        </is>
      </c>
      <c r="Q21" s="81" t="n"/>
      <c r="R21" s="81" t="n"/>
      <c r="S21" s="87" t="n"/>
      <c r="T21" s="88" t="n"/>
      <c r="U21" s="89">
        <f>IF(AND(D21="Aktif",COUNT(E21:M21)=9),SUM(E21:M21),"")</f>
        <v/>
      </c>
      <c r="V21" s="90">
        <f>IF(U21="","",U21-J21-M21+IF(N21="Ya",0,J21)+IF(O21="Ya",0,IF(P21="Ya",MIN(M21,2),M21)))</f>
        <v/>
      </c>
      <c r="W21" s="91">
        <f>IF(U21="","",SUM(Q21:R21))</f>
        <v/>
      </c>
      <c r="X21" s="92">
        <f>IF(V21="","",MAX(0,V21-W21))</f>
        <v/>
      </c>
      <c r="Y21" s="93">
        <f>IF(D21&lt;&gt;"Aktif","Dikecualikan",IF(COUNTA(E21:M21)=0,"Belum diisi",IF(COUNT(E21:M21)&lt;9,"Belum lengkap",IF(OR(SUMPRODUCT((E21:M21&gt;$E$7:$M$7)*1)&gt;0,SUMPRODUCT((E21:M21&lt;0)*1)&gt;0,SUMPRODUCT((E21:M21&lt;&gt;INT(E21:M21))*1)&gt;0,N(Q21)&gt;3,N(R21)&gt;2),"MELEBIHI HAD",IF(AND(SUMPRODUCT((E21:M21&lt;0.6*$E$7:$M$7)*1)&gt;0,T21=""),"JUSTIFIKASI WAJIB",IF(AND(SUM(Q21:R21)&gt;0,S21=""),"SEBAB PENALTI WAJIB","LENGKAP"))))))</f>
        <v/>
      </c>
    </row>
    <row r="23" ht="26" customHeight="1">
      <c r="A23" s="35" t="inlineStr">
        <is>
          <t>Pasukan LENGKAP</t>
        </is>
      </c>
      <c r="B23" s="36" t="n"/>
      <c r="C23" s="36" t="n"/>
      <c r="D23" s="36" t="n"/>
      <c r="E23" s="39">
        <f>COUNTIF(Y8:Y21,"LENGKAP")&amp;" daripada "&amp;COUNTIF(D8:D21,"Aktif")&amp;" pasukan aktif"</f>
        <v/>
      </c>
      <c r="F23" s="40" t="n"/>
      <c r="G23" s="40" t="n"/>
      <c r="H23" s="40" t="n"/>
    </row>
    <row r="25" ht="26" customHeight="1">
      <c r="A25" s="35" t="inlineStr">
        <is>
          <t>Ulasan keseluruhan dan cadangan hakim</t>
        </is>
      </c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</row>
    <row r="26" ht="22" customHeight="1">
      <c r="A26" s="10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</row>
    <row r="27" ht="22" customHeight="1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</row>
    <row r="28" ht="22" customHeight="1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</row>
    <row r="30" ht="26" customHeight="1">
      <c r="A30" s="103" t="inlineStr">
        <is>
          <t>PERAKUAN HAKIM</t>
        </is>
      </c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4" t="n"/>
      <c r="Y30" s="104" t="n"/>
    </row>
    <row r="31" ht="28" customHeight="1">
      <c r="A31" s="35" t="inlineStr">
        <is>
          <t>Nama hakim</t>
        </is>
      </c>
      <c r="B31" s="36" t="n"/>
      <c r="C31" s="36" t="n"/>
      <c r="D31" s="36" t="n"/>
      <c r="E31" s="39">
        <f>IF(J3="","",J3)</f>
        <v/>
      </c>
      <c r="F31" s="40" t="n"/>
      <c r="G31" s="40" t="n"/>
      <c r="H31" s="40" t="n"/>
      <c r="I31" s="40" t="n"/>
      <c r="J31" s="35" t="inlineStr">
        <is>
          <t>Kod hakim</t>
        </is>
      </c>
      <c r="K31" s="36" t="n"/>
      <c r="L31" s="36" t="n"/>
      <c r="M31" s="105">
        <f>C3</f>
        <v/>
      </c>
      <c r="N31" s="40" t="n"/>
    </row>
    <row r="32" ht="28" customHeight="1">
      <c r="A32" s="35" t="inlineStr">
        <is>
          <t>Tarikh dan masa selesai</t>
        </is>
      </c>
      <c r="B32" s="36" t="n"/>
      <c r="C32" s="36" t="n"/>
      <c r="D32" s="36" t="n"/>
      <c r="E32" s="106" t="n"/>
      <c r="F32" s="42" t="n"/>
      <c r="G32" s="42" t="n"/>
      <c r="H32" s="42" t="n"/>
      <c r="I32" s="42" t="n"/>
      <c r="J32" s="107" t="inlineStr">
        <is>
          <t>Markah ini penilaian saya sendiri (Ya/Tidak)</t>
        </is>
      </c>
      <c r="K32" s="36" t="n"/>
      <c r="L32" s="36" t="n"/>
      <c r="M32" s="85" t="inlineStr">
        <is>
          <t>Tidak</t>
        </is>
      </c>
      <c r="N32" s="42" t="n"/>
    </row>
    <row r="33" ht="28" customHeight="1">
      <c r="A33" s="35" t="inlineStr">
        <is>
          <t>STATUS BORANG</t>
        </is>
      </c>
      <c r="B33" s="36" t="n"/>
      <c r="C33" s="36" t="n"/>
      <c r="D33" s="36" t="n"/>
      <c r="E33" s="108">
        <f>IF(AND(COUNTIF(Y8:Y21,"LENGKAP")=COUNTIF(D8:D21,"Aktif"),COUNTIF(D8:D21,"Aktif")&gt;0,C3&lt;&gt;"",J3&lt;&gt;"",M32="Ya"),"SEDIA DISERAH KEPADA URUSETIA KEHAKIMAN","BELUM SEDIA: semak lajur Semakan, nama hakim dan perakuan")</f>
        <v/>
      </c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</row>
  </sheetData>
  <mergeCells count="29">
    <mergeCell ref="A5:D5"/>
    <mergeCell ref="A23:D23"/>
    <mergeCell ref="A2:Y2"/>
    <mergeCell ref="Q5:S5"/>
    <mergeCell ref="J3:M3"/>
    <mergeCell ref="N5:P5"/>
    <mergeCell ref="A26:Y28"/>
    <mergeCell ref="F3:G3"/>
    <mergeCell ref="N3:O3"/>
    <mergeCell ref="A31:D31"/>
    <mergeCell ref="J32:L32"/>
    <mergeCell ref="J31:L31"/>
    <mergeCell ref="E31:I31"/>
    <mergeCell ref="M31:N31"/>
    <mergeCell ref="A3:B3"/>
    <mergeCell ref="A30:Y30"/>
    <mergeCell ref="E33:N33"/>
    <mergeCell ref="E23:H23"/>
    <mergeCell ref="A1:Y1"/>
    <mergeCell ref="D3:E3"/>
    <mergeCell ref="H3:I3"/>
    <mergeCell ref="A25:Y25"/>
    <mergeCell ref="P3:Q3"/>
    <mergeCell ref="E5:M5"/>
    <mergeCell ref="E32:I32"/>
    <mergeCell ref="M32:N32"/>
    <mergeCell ref="U5:Y5"/>
    <mergeCell ref="A33:D33"/>
    <mergeCell ref="A32:D32"/>
  </mergeCells>
  <conditionalFormatting sqref="Y8:Y21">
    <cfRule type="expression" priority="1" dxfId="0" stopIfTrue="0">
      <formula>$Y8="LENGKAP"</formula>
    </cfRule>
    <cfRule type="expression" priority="2" dxfId="1" stopIfTrue="0">
      <formula>OR($Y8="JUSTIFIKASI WAJIB",$Y8="SEBAB PENALTI WAJIB",$Y8="MELEBIHI HAD")</formula>
    </cfRule>
    <cfRule type="expression" priority="3" dxfId="2" stopIfTrue="0">
      <formula>$Y8="Belum lengkap"</formula>
    </cfRule>
  </conditionalFormatting>
  <conditionalFormatting sqref="T8:T21">
    <cfRule type="expression" priority="4" dxfId="3" stopIfTrue="0">
      <formula>AND(COUNT($E8:$M8)=9,SUMPRODUCT(($E8:$M8&lt;0.6*$E$7:$M$7)*1)&gt;0,$T8="")</formula>
    </cfRule>
  </conditionalFormatting>
  <conditionalFormatting sqref="S8:S21">
    <cfRule type="expression" priority="5" dxfId="3" stopIfTrue="0">
      <formula>AND(SUM($Q8:$R8)&gt;0,$S8="")</formula>
    </cfRule>
  </conditionalFormatting>
  <conditionalFormatting sqref="J8:J21">
    <cfRule type="expression" priority="6" dxfId="4" stopIfTrue="0">
      <formula>$N8="Ya"</formula>
    </cfRule>
    <cfRule type="expression" priority="18" dxfId="5" stopIfTrue="0">
      <formula>AND(ISNUMBER(J8),OR(J8&gt;J$7,J8&lt;0))</formula>
    </cfRule>
    <cfRule type="expression" priority="19" dxfId="6" stopIfTrue="0">
      <formula>AND(ISNUMBER(J8),J8&lt;0.6*J$7)</formula>
    </cfRule>
  </conditionalFormatting>
  <conditionalFormatting sqref="M8:M21">
    <cfRule type="expression" priority="7" dxfId="4" stopIfTrue="0">
      <formula>OR($O8="Ya",$P8="Ya")</formula>
    </cfRule>
    <cfRule type="expression" priority="24" dxfId="5" stopIfTrue="0">
      <formula>AND(ISNUMBER(M8),OR(M8&gt;M$7,M8&lt;0))</formula>
    </cfRule>
    <cfRule type="expression" priority="25" dxfId="6" stopIfTrue="0">
      <formula>AND(ISNUMBER(M8),M8&lt;0.6*M$7)</formula>
    </cfRule>
  </conditionalFormatting>
  <conditionalFormatting sqref="E8:E21">
    <cfRule type="expression" priority="8" dxfId="5" stopIfTrue="0">
      <formula>AND(ISNUMBER(E8),OR(E8&gt;E$7,E8&lt;0))</formula>
    </cfRule>
    <cfRule type="expression" priority="9" dxfId="6" stopIfTrue="0">
      <formula>AND(ISNUMBER(E8),E8&lt;0.6*E$7)</formula>
    </cfRule>
  </conditionalFormatting>
  <conditionalFormatting sqref="F8:F21">
    <cfRule type="expression" priority="10" dxfId="5" stopIfTrue="0">
      <formula>AND(ISNUMBER(F8),OR(F8&gt;F$7,F8&lt;0))</formula>
    </cfRule>
    <cfRule type="expression" priority="11" dxfId="6" stopIfTrue="0">
      <formula>AND(ISNUMBER(F8),F8&lt;0.6*F$7)</formula>
    </cfRule>
  </conditionalFormatting>
  <conditionalFormatting sqref="G8:G21">
    <cfRule type="expression" priority="12" dxfId="5" stopIfTrue="0">
      <formula>AND(ISNUMBER(G8),OR(G8&gt;G$7,G8&lt;0))</formula>
    </cfRule>
    <cfRule type="expression" priority="13" dxfId="6" stopIfTrue="0">
      <formula>AND(ISNUMBER(G8),G8&lt;0.6*G$7)</formula>
    </cfRule>
  </conditionalFormatting>
  <conditionalFormatting sqref="H8:H21">
    <cfRule type="expression" priority="14" dxfId="5" stopIfTrue="0">
      <formula>AND(ISNUMBER(H8),OR(H8&gt;H$7,H8&lt;0))</formula>
    </cfRule>
    <cfRule type="expression" priority="15" dxfId="6" stopIfTrue="0">
      <formula>AND(ISNUMBER(H8),H8&lt;0.6*H$7)</formula>
    </cfRule>
  </conditionalFormatting>
  <conditionalFormatting sqref="I8:I21">
    <cfRule type="expression" priority="16" dxfId="5" stopIfTrue="0">
      <formula>AND(ISNUMBER(I8),OR(I8&gt;I$7,I8&lt;0))</formula>
    </cfRule>
    <cfRule type="expression" priority="17" dxfId="6" stopIfTrue="0">
      <formula>AND(ISNUMBER(I8),I8&lt;0.6*I$7)</formula>
    </cfRule>
  </conditionalFormatting>
  <conditionalFormatting sqref="K8:K21">
    <cfRule type="expression" priority="20" dxfId="5" stopIfTrue="0">
      <formula>AND(ISNUMBER(K8),OR(K8&gt;K$7,K8&lt;0))</formula>
    </cfRule>
    <cfRule type="expression" priority="21" dxfId="6" stopIfTrue="0">
      <formula>AND(ISNUMBER(K8),K8&lt;0.6*K$7)</formula>
    </cfRule>
  </conditionalFormatting>
  <conditionalFormatting sqref="L8:L21">
    <cfRule type="expression" priority="22" dxfId="5" stopIfTrue="0">
      <formula>AND(ISNUMBER(L8),OR(L8&gt;L$7,L8&lt;0))</formula>
    </cfRule>
    <cfRule type="expression" priority="23" dxfId="6" stopIfTrue="0">
      <formula>AND(ISNUMBER(L8),L8&lt;0.6*L$7)</formula>
    </cfRule>
  </conditionalFormatting>
  <conditionalFormatting sqref="E33">
    <cfRule type="expression" priority="26" dxfId="0" stopIfTrue="0">
      <formula>LEFT($E33,5)="SEDIA"</formula>
    </cfRule>
    <cfRule type="expression" priority="27" dxfId="2" stopIfTrue="0">
      <formula>LEFT($E33,5)="BELUM"</formula>
    </cfRule>
  </conditionalFormatting>
  <dataValidations count="15">
    <dataValidation sqref="C3" showDropDown="0" showInputMessage="0" showErrorMessage="1" allowBlank="1" errorTitle="Pilihan tidak sah" error="Pilih daripada senarai: H1, H2, H3" type="list" errorStyle="stop">
      <formula1>"H1,H2,H3"</formula1>
    </dataValidation>
    <dataValidation sqref="E8:E21" showDropDown="0" showInputMessage="1" showErrorMessage="1" allowBlank="1" errorTitle="Markah tidak sah" error="Pilih nombor 0 hingga 20 daripada senarai dropdown. Taip bebas tidak dibenarkan." promptTitle="Pilih markah" prompt="Klik anak panah dan pilih 0 hingga 20." type="list" errorStyle="stop">
      <formula1>"0,1,2,3,4,5,6,7,8,9,10,11,12,13,14,15,16,17,18,19,20"</formula1>
    </dataValidation>
    <dataValidation sqref="F8:F21" showDropDown="0" showInputMessage="1" showErrorMessage="1" allowBlank="1" errorTitle="Markah tidak sah" error="Pilih nombor 0 hingga 15 daripada senarai dropdown. Taip bebas tidak dibenarkan." promptTitle="Pilih markah" prompt="Klik anak panah dan pilih 0 hingga 15." type="list" errorStyle="stop">
      <formula1>"0,1,2,3,4,5,6,7,8,9,10,11,12,13,14,15"</formula1>
    </dataValidation>
    <dataValidation sqref="G8:G21" showDropDown="0" showInputMessage="1" showErrorMessage="1" allowBlank="1" errorTitle="Markah tidak sah" error="Pilih nombor 0 hingga 15 daripada senarai dropdown. Taip bebas tidak dibenarkan." promptTitle="Pilih markah" prompt="Klik anak panah dan pilih 0 hingga 15." type="list" errorStyle="stop">
      <formula1>"0,1,2,3,4,5,6,7,8,9,10,11,12,13,14,15"</formula1>
    </dataValidation>
    <dataValidation sqref="H8:H21" showDropDown="0" showInputMessage="1" showErrorMessage="1" allowBlank="1" errorTitle="Markah tidak sah" error="Pilih nombor 0 hingga 10 daripada senarai dropdown. Taip bebas tidak dibenarkan." promptTitle="Pilih markah" prompt="Klik anak panah dan pilih 0 hingga 10." type="list" errorStyle="stop">
      <formula1>"0,1,2,3,4,5,6,7,8,9,10"</formula1>
    </dataValidation>
    <dataValidation sqref="I8:I21" showDropDown="0" showInputMessage="1" showErrorMessage="1" allowBlank="1" errorTitle="Markah tidak sah" error="Pilih nombor 0 hingga 10 daripada senarai dropdown. Taip bebas tidak dibenarkan." promptTitle="Pilih markah" prompt="Klik anak panah dan pilih 0 hingga 10." type="list" errorStyle="stop">
      <formula1>"0,1,2,3,4,5,6,7,8,9,10"</formula1>
    </dataValidation>
    <dataValidation sqref="J8:J21" showDropDown="0" showInputMessage="1" showErrorMessage="1" allowBlank="1" errorTitle="Markah tidak sah" error="Pilih nombor 0 hingga 10 daripada senarai dropdown. Taip bebas tidak dibenarkan." promptTitle="Pilih markah" prompt="Klik anak panah dan pilih 0 hingga 10." type="list" errorStyle="stop">
      <formula1>"0,1,2,3,4,5,6,7,8,9,10"</formula1>
    </dataValidation>
    <dataValidation sqref="K8:K21" showDropDown="0" showInputMessage="1" showErrorMessage="1" allowBlank="1" errorTitle="Markah tidak sah" error="Pilih nombor 0 hingga 5 daripada senarai dropdown. Taip bebas tidak dibenarkan." promptTitle="Pilih markah" prompt="Klik anak panah dan pilih 0 hingga 5." type="list" errorStyle="stop">
      <formula1>"0,1,2,3,4,5"</formula1>
    </dataValidation>
    <dataValidation sqref="L8:L21" showDropDown="0" showInputMessage="1" showErrorMessage="1" allowBlank="1" errorTitle="Markah tidak sah" error="Pilih nombor 0 hingga 10 daripada senarai dropdown. Taip bebas tidak dibenarkan." promptTitle="Pilih markah" prompt="Klik anak panah dan pilih 0 hingga 10." type="list" errorStyle="stop">
      <formula1>"0,1,2,3,4,5,6,7,8,9,10"</formula1>
    </dataValidation>
    <dataValidation sqref="M8:M21" showDropDown="0" showInputMessage="1" showErrorMessage="1" allowBlank="1" errorTitle="Markah tidak sah" error="Pilih nombor 0 hingga 5 daripada senarai dropdown. Taip bebas tidak dibenarkan." promptTitle="Pilih markah" prompt="Klik anak panah dan pilih 0 hingga 5." type="list" errorStyle="stop">
      <formula1>"0,1,2,3,4,5"</formula1>
    </dataValidation>
    <dataValidation sqref="D8:D21" showDropDown="0" showInputMessage="0" showErrorMessage="1" allowBlank="1" errorTitle="Pilihan tidak sah" error="Pilih daripada senarai: Aktif, Tarik diri, BATAL" type="list" errorStyle="stop">
      <formula1>"Aktif,Tarik diri,BATAL"</formula1>
    </dataValidation>
    <dataValidation sqref="N8:P21" showDropDown="0" showInputMessage="0" showErrorMessage="1" allowBlank="1" errorTitle="Pilihan tidak sah" error="Pilih daripada senarai: Tidak, Ya" type="list" errorStyle="stop">
      <formula1>"Tidak,Ya"</formula1>
    </dataValidation>
    <dataValidation sqref="Q8:Q21" showDropDown="0" showInputMessage="1" showErrorMessage="1" allowBlank="1" errorTitle="Markah tidak sah" error="Pilih 0, 1, 2 atau 3 daripada dropdown." promptTitle="Pilih markah" prompt="Klik anak panah dan pilih 0 hingga 3." type="list" errorStyle="stop">
      <formula1>"0,1,2,3"</formula1>
    </dataValidation>
    <dataValidation sqref="R8:R21" showDropDown="0" showInputMessage="1" showErrorMessage="1" allowBlank="1" errorTitle="Markah tidak sah" error="Pilih 0, 1 atau 2 daripada dropdown." promptTitle="Pilih markah" prompt="Klik anak panah dan pilih 0 hingga 2." type="list" errorStyle="stop">
      <formula1>"0,1,2"</formula1>
    </dataValidation>
    <dataValidation sqref="M32" showDropDown="0" showInputMessage="0" showErrorMessage="1" allowBlank="1" errorTitle="Pilihan tidak sah" error="Pilih daripada senarai: Ya, Tidak" type="list" errorStyle="stop">
      <formula1>"Ya,Tidak"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 fitToPage="1"/>
  </sheetPr>
  <dimension ref="A1:M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</cols>
  <sheetData>
    <row r="1" ht="32" customHeight="1">
      <c r="A1" s="1" t="inlineStr">
        <is>
          <t>SALIN KE RUMUSAN URUSETIA  |  hanya baris LENGKAP dipaparkan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4" customHeight="1">
      <c r="A2" s="3" t="inlineStr">
        <is>
          <t>Urusetia: salin A5:M18 dan tampal sebagai NILAI SAHAJA (Ctrl+Shift+V) ke sel A6 pada tab H1, H2 atau H3 dalam fail Rumusan. Audio dan AURORA sudah mengikut peraturan komponen.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6" customHeight="1">
      <c r="A3" s="38" t="inlineStr">
        <is>
          <t>Kod hakim:</t>
        </is>
      </c>
      <c r="B3" s="105">
        <f>PEMARKAHAN!C3</f>
        <v/>
      </c>
      <c r="C3" s="38" t="inlineStr">
        <is>
          <t>Nama:</t>
        </is>
      </c>
      <c r="D3" s="36" t="n"/>
      <c r="E3" s="39">
        <f>IF(PEMARKAHAN!J3="","",PEMARKAHAN!J3)</f>
        <v/>
      </c>
      <c r="F3" s="40" t="n"/>
      <c r="G3" s="40" t="n"/>
      <c r="H3" s="40" t="n"/>
    </row>
    <row r="4" ht="38" customHeight="1">
      <c r="A4" s="58" t="inlineStr">
        <is>
          <t>Negeri</t>
        </is>
      </c>
      <c r="B4" s="59" t="inlineStr">
        <is>
          <t>Kreativiti</t>
        </is>
      </c>
      <c r="C4" s="60" t="inlineStr">
        <is>
          <t>Kandungan</t>
        </is>
      </c>
      <c r="D4" s="61" t="inlineStr">
        <is>
          <t>Canva</t>
        </is>
      </c>
      <c r="E4" s="62" t="inlineStr">
        <is>
          <t>AI</t>
        </is>
      </c>
      <c r="F4" s="63" t="inlineStr">
        <is>
          <t>CapCut</t>
        </is>
      </c>
      <c r="G4" s="64" t="inlineStr">
        <is>
          <t>Audio</t>
        </is>
      </c>
      <c r="H4" s="65" t="inlineStr">
        <is>
          <t>Etika</t>
        </is>
      </c>
      <c r="I4" s="66" t="inlineStr">
        <is>
          <t>Persembahan</t>
        </is>
      </c>
      <c r="J4" s="67" t="inlineStr">
        <is>
          <t>AURORA</t>
        </is>
      </c>
      <c r="K4" s="68" t="inlineStr">
        <is>
          <t>Penalti aset</t>
        </is>
      </c>
      <c r="L4" s="68" t="inlineStr">
        <is>
          <t>Penalti budi</t>
        </is>
      </c>
      <c r="M4" s="62" t="inlineStr">
        <is>
          <t>Jumlah akhir</t>
        </is>
      </c>
    </row>
    <row r="5" ht="24" customHeight="1">
      <c r="A5" s="84">
        <f>PEMARKAHAN!B8</f>
        <v/>
      </c>
      <c r="B5" s="109">
        <f>IF(PEMARKAHAN!$Y8="LENGKAP",PEMARKAHAN!E8,"")</f>
        <v/>
      </c>
      <c r="C5" s="110">
        <f>IF(PEMARKAHAN!$Y8="LENGKAP",PEMARKAHAN!F8,"")</f>
        <v/>
      </c>
      <c r="D5" s="111">
        <f>IF(PEMARKAHAN!$Y8="LENGKAP",PEMARKAHAN!G8,"")</f>
        <v/>
      </c>
      <c r="E5" s="86">
        <f>IF(PEMARKAHAN!$Y8="LENGKAP",PEMARKAHAN!H8,"")</f>
        <v/>
      </c>
      <c r="F5" s="112">
        <f>IF(PEMARKAHAN!$Y8="LENGKAP",PEMARKAHAN!I8,"")</f>
        <v/>
      </c>
      <c r="G5" s="113">
        <f>IF(PEMARKAHAN!$Y8="LENGKAP",IF(PEMARKAHAN!N8="Ya",0,PEMARKAHAN!J8),"")</f>
        <v/>
      </c>
      <c r="H5" s="114">
        <f>IF(PEMARKAHAN!$Y8="LENGKAP",PEMARKAHAN!K8,"")</f>
        <v/>
      </c>
      <c r="I5" s="115">
        <f>IF(PEMARKAHAN!$Y8="LENGKAP",PEMARKAHAN!L8,"")</f>
        <v/>
      </c>
      <c r="J5" s="116">
        <f>IF(PEMARKAHAN!$Y8="LENGKAP",IF(PEMARKAHAN!O8="Ya",0,IF(PEMARKAHAN!P8="Ya",MIN(PEMARKAHAN!M8,2),PEMARKAHAN!M8)),"")</f>
        <v/>
      </c>
      <c r="K5" s="117">
        <f>IF(PEMARKAHAN!$Y8="LENGKAP",N(PEMARKAHAN!Q8),"")</f>
        <v/>
      </c>
      <c r="L5" s="117">
        <f>IF(PEMARKAHAN!$Y8="LENGKAP",N(PEMARKAHAN!R8),"")</f>
        <v/>
      </c>
      <c r="M5" s="118">
        <f>IF(PEMARKAHAN!$Y8="LENGKAP",PEMARKAHAN!X8,"")</f>
        <v/>
      </c>
    </row>
    <row r="6" ht="24" customHeight="1">
      <c r="A6" s="84">
        <f>PEMARKAHAN!B9</f>
        <v/>
      </c>
      <c r="B6" s="109">
        <f>IF(PEMARKAHAN!$Y9="LENGKAP",PEMARKAHAN!E9,"")</f>
        <v/>
      </c>
      <c r="C6" s="110">
        <f>IF(PEMARKAHAN!$Y9="LENGKAP",PEMARKAHAN!F9,"")</f>
        <v/>
      </c>
      <c r="D6" s="111">
        <f>IF(PEMARKAHAN!$Y9="LENGKAP",PEMARKAHAN!G9,"")</f>
        <v/>
      </c>
      <c r="E6" s="86">
        <f>IF(PEMARKAHAN!$Y9="LENGKAP",PEMARKAHAN!H9,"")</f>
        <v/>
      </c>
      <c r="F6" s="112">
        <f>IF(PEMARKAHAN!$Y9="LENGKAP",PEMARKAHAN!I9,"")</f>
        <v/>
      </c>
      <c r="G6" s="113">
        <f>IF(PEMARKAHAN!$Y9="LENGKAP",IF(PEMARKAHAN!N9="Ya",0,PEMARKAHAN!J9),"")</f>
        <v/>
      </c>
      <c r="H6" s="114">
        <f>IF(PEMARKAHAN!$Y9="LENGKAP",PEMARKAHAN!K9,"")</f>
        <v/>
      </c>
      <c r="I6" s="115">
        <f>IF(PEMARKAHAN!$Y9="LENGKAP",PEMARKAHAN!L9,"")</f>
        <v/>
      </c>
      <c r="J6" s="116">
        <f>IF(PEMARKAHAN!$Y9="LENGKAP",IF(PEMARKAHAN!O9="Ya",0,IF(PEMARKAHAN!P9="Ya",MIN(PEMARKAHAN!M9,2),PEMARKAHAN!M9)),"")</f>
        <v/>
      </c>
      <c r="K6" s="117">
        <f>IF(PEMARKAHAN!$Y9="LENGKAP",N(PEMARKAHAN!Q9),"")</f>
        <v/>
      </c>
      <c r="L6" s="117">
        <f>IF(PEMARKAHAN!$Y9="LENGKAP",N(PEMARKAHAN!R9),"")</f>
        <v/>
      </c>
      <c r="M6" s="118">
        <f>IF(PEMARKAHAN!$Y9="LENGKAP",PEMARKAHAN!X9,"")</f>
        <v/>
      </c>
    </row>
    <row r="7" ht="24" customHeight="1">
      <c r="A7" s="84">
        <f>PEMARKAHAN!B10</f>
        <v/>
      </c>
      <c r="B7" s="109">
        <f>IF(PEMARKAHAN!$Y10="LENGKAP",PEMARKAHAN!E10,"")</f>
        <v/>
      </c>
      <c r="C7" s="110">
        <f>IF(PEMARKAHAN!$Y10="LENGKAP",PEMARKAHAN!F10,"")</f>
        <v/>
      </c>
      <c r="D7" s="111">
        <f>IF(PEMARKAHAN!$Y10="LENGKAP",PEMARKAHAN!G10,"")</f>
        <v/>
      </c>
      <c r="E7" s="86">
        <f>IF(PEMARKAHAN!$Y10="LENGKAP",PEMARKAHAN!H10,"")</f>
        <v/>
      </c>
      <c r="F7" s="112">
        <f>IF(PEMARKAHAN!$Y10="LENGKAP",PEMARKAHAN!I10,"")</f>
        <v/>
      </c>
      <c r="G7" s="113">
        <f>IF(PEMARKAHAN!$Y10="LENGKAP",IF(PEMARKAHAN!N10="Ya",0,PEMARKAHAN!J10),"")</f>
        <v/>
      </c>
      <c r="H7" s="114">
        <f>IF(PEMARKAHAN!$Y10="LENGKAP",PEMARKAHAN!K10,"")</f>
        <v/>
      </c>
      <c r="I7" s="115">
        <f>IF(PEMARKAHAN!$Y10="LENGKAP",PEMARKAHAN!L10,"")</f>
        <v/>
      </c>
      <c r="J7" s="116">
        <f>IF(PEMARKAHAN!$Y10="LENGKAP",IF(PEMARKAHAN!O10="Ya",0,IF(PEMARKAHAN!P10="Ya",MIN(PEMARKAHAN!M10,2),PEMARKAHAN!M10)),"")</f>
        <v/>
      </c>
      <c r="K7" s="117">
        <f>IF(PEMARKAHAN!$Y10="LENGKAP",N(PEMARKAHAN!Q10),"")</f>
        <v/>
      </c>
      <c r="L7" s="117">
        <f>IF(PEMARKAHAN!$Y10="LENGKAP",N(PEMARKAHAN!R10),"")</f>
        <v/>
      </c>
      <c r="M7" s="118">
        <f>IF(PEMARKAHAN!$Y10="LENGKAP",PEMARKAHAN!X10,"")</f>
        <v/>
      </c>
    </row>
    <row r="8" ht="24" customHeight="1">
      <c r="A8" s="84">
        <f>PEMARKAHAN!B11</f>
        <v/>
      </c>
      <c r="B8" s="109">
        <f>IF(PEMARKAHAN!$Y11="LENGKAP",PEMARKAHAN!E11,"")</f>
        <v/>
      </c>
      <c r="C8" s="110">
        <f>IF(PEMARKAHAN!$Y11="LENGKAP",PEMARKAHAN!F11,"")</f>
        <v/>
      </c>
      <c r="D8" s="111">
        <f>IF(PEMARKAHAN!$Y11="LENGKAP",PEMARKAHAN!G11,"")</f>
        <v/>
      </c>
      <c r="E8" s="86">
        <f>IF(PEMARKAHAN!$Y11="LENGKAP",PEMARKAHAN!H11,"")</f>
        <v/>
      </c>
      <c r="F8" s="112">
        <f>IF(PEMARKAHAN!$Y11="LENGKAP",PEMARKAHAN!I11,"")</f>
        <v/>
      </c>
      <c r="G8" s="113">
        <f>IF(PEMARKAHAN!$Y11="LENGKAP",IF(PEMARKAHAN!N11="Ya",0,PEMARKAHAN!J11),"")</f>
        <v/>
      </c>
      <c r="H8" s="114">
        <f>IF(PEMARKAHAN!$Y11="LENGKAP",PEMARKAHAN!K11,"")</f>
        <v/>
      </c>
      <c r="I8" s="115">
        <f>IF(PEMARKAHAN!$Y11="LENGKAP",PEMARKAHAN!L11,"")</f>
        <v/>
      </c>
      <c r="J8" s="116">
        <f>IF(PEMARKAHAN!$Y11="LENGKAP",IF(PEMARKAHAN!O11="Ya",0,IF(PEMARKAHAN!P11="Ya",MIN(PEMARKAHAN!M11,2),PEMARKAHAN!M11)),"")</f>
        <v/>
      </c>
      <c r="K8" s="117">
        <f>IF(PEMARKAHAN!$Y11="LENGKAP",N(PEMARKAHAN!Q11),"")</f>
        <v/>
      </c>
      <c r="L8" s="117">
        <f>IF(PEMARKAHAN!$Y11="LENGKAP",N(PEMARKAHAN!R11),"")</f>
        <v/>
      </c>
      <c r="M8" s="118">
        <f>IF(PEMARKAHAN!$Y11="LENGKAP",PEMARKAHAN!X11,"")</f>
        <v/>
      </c>
    </row>
    <row r="9" ht="24" customHeight="1">
      <c r="A9" s="84">
        <f>PEMARKAHAN!B12</f>
        <v/>
      </c>
      <c r="B9" s="109">
        <f>IF(PEMARKAHAN!$Y12="LENGKAP",PEMARKAHAN!E12,"")</f>
        <v/>
      </c>
      <c r="C9" s="110">
        <f>IF(PEMARKAHAN!$Y12="LENGKAP",PEMARKAHAN!F12,"")</f>
        <v/>
      </c>
      <c r="D9" s="111">
        <f>IF(PEMARKAHAN!$Y12="LENGKAP",PEMARKAHAN!G12,"")</f>
        <v/>
      </c>
      <c r="E9" s="86">
        <f>IF(PEMARKAHAN!$Y12="LENGKAP",PEMARKAHAN!H12,"")</f>
        <v/>
      </c>
      <c r="F9" s="112">
        <f>IF(PEMARKAHAN!$Y12="LENGKAP",PEMARKAHAN!I12,"")</f>
        <v/>
      </c>
      <c r="G9" s="113">
        <f>IF(PEMARKAHAN!$Y12="LENGKAP",IF(PEMARKAHAN!N12="Ya",0,PEMARKAHAN!J12),"")</f>
        <v/>
      </c>
      <c r="H9" s="114">
        <f>IF(PEMARKAHAN!$Y12="LENGKAP",PEMARKAHAN!K12,"")</f>
        <v/>
      </c>
      <c r="I9" s="115">
        <f>IF(PEMARKAHAN!$Y12="LENGKAP",PEMARKAHAN!L12,"")</f>
        <v/>
      </c>
      <c r="J9" s="116">
        <f>IF(PEMARKAHAN!$Y12="LENGKAP",IF(PEMARKAHAN!O12="Ya",0,IF(PEMARKAHAN!P12="Ya",MIN(PEMARKAHAN!M12,2),PEMARKAHAN!M12)),"")</f>
        <v/>
      </c>
      <c r="K9" s="117">
        <f>IF(PEMARKAHAN!$Y12="LENGKAP",N(PEMARKAHAN!Q12),"")</f>
        <v/>
      </c>
      <c r="L9" s="117">
        <f>IF(PEMARKAHAN!$Y12="LENGKAP",N(PEMARKAHAN!R12),"")</f>
        <v/>
      </c>
      <c r="M9" s="118">
        <f>IF(PEMARKAHAN!$Y12="LENGKAP",PEMARKAHAN!X12,"")</f>
        <v/>
      </c>
    </row>
    <row r="10" ht="24" customHeight="1">
      <c r="A10" s="84">
        <f>PEMARKAHAN!B13</f>
        <v/>
      </c>
      <c r="B10" s="109">
        <f>IF(PEMARKAHAN!$Y13="LENGKAP",PEMARKAHAN!E13,"")</f>
        <v/>
      </c>
      <c r="C10" s="110">
        <f>IF(PEMARKAHAN!$Y13="LENGKAP",PEMARKAHAN!F13,"")</f>
        <v/>
      </c>
      <c r="D10" s="111">
        <f>IF(PEMARKAHAN!$Y13="LENGKAP",PEMARKAHAN!G13,"")</f>
        <v/>
      </c>
      <c r="E10" s="86">
        <f>IF(PEMARKAHAN!$Y13="LENGKAP",PEMARKAHAN!H13,"")</f>
        <v/>
      </c>
      <c r="F10" s="112">
        <f>IF(PEMARKAHAN!$Y13="LENGKAP",PEMARKAHAN!I13,"")</f>
        <v/>
      </c>
      <c r="G10" s="113">
        <f>IF(PEMARKAHAN!$Y13="LENGKAP",IF(PEMARKAHAN!N13="Ya",0,PEMARKAHAN!J13),"")</f>
        <v/>
      </c>
      <c r="H10" s="114">
        <f>IF(PEMARKAHAN!$Y13="LENGKAP",PEMARKAHAN!K13,"")</f>
        <v/>
      </c>
      <c r="I10" s="115">
        <f>IF(PEMARKAHAN!$Y13="LENGKAP",PEMARKAHAN!L13,"")</f>
        <v/>
      </c>
      <c r="J10" s="116">
        <f>IF(PEMARKAHAN!$Y13="LENGKAP",IF(PEMARKAHAN!O13="Ya",0,IF(PEMARKAHAN!P13="Ya",MIN(PEMARKAHAN!M13,2),PEMARKAHAN!M13)),"")</f>
        <v/>
      </c>
      <c r="K10" s="117">
        <f>IF(PEMARKAHAN!$Y13="LENGKAP",N(PEMARKAHAN!Q13),"")</f>
        <v/>
      </c>
      <c r="L10" s="117">
        <f>IF(PEMARKAHAN!$Y13="LENGKAP",N(PEMARKAHAN!R13),"")</f>
        <v/>
      </c>
      <c r="M10" s="118">
        <f>IF(PEMARKAHAN!$Y13="LENGKAP",PEMARKAHAN!X13,"")</f>
        <v/>
      </c>
    </row>
    <row r="11" ht="24" customHeight="1">
      <c r="A11" s="84">
        <f>PEMARKAHAN!B14</f>
        <v/>
      </c>
      <c r="B11" s="109">
        <f>IF(PEMARKAHAN!$Y14="LENGKAP",PEMARKAHAN!E14,"")</f>
        <v/>
      </c>
      <c r="C11" s="110">
        <f>IF(PEMARKAHAN!$Y14="LENGKAP",PEMARKAHAN!F14,"")</f>
        <v/>
      </c>
      <c r="D11" s="111">
        <f>IF(PEMARKAHAN!$Y14="LENGKAP",PEMARKAHAN!G14,"")</f>
        <v/>
      </c>
      <c r="E11" s="86">
        <f>IF(PEMARKAHAN!$Y14="LENGKAP",PEMARKAHAN!H14,"")</f>
        <v/>
      </c>
      <c r="F11" s="112">
        <f>IF(PEMARKAHAN!$Y14="LENGKAP",PEMARKAHAN!I14,"")</f>
        <v/>
      </c>
      <c r="G11" s="113">
        <f>IF(PEMARKAHAN!$Y14="LENGKAP",IF(PEMARKAHAN!N14="Ya",0,PEMARKAHAN!J14),"")</f>
        <v/>
      </c>
      <c r="H11" s="114">
        <f>IF(PEMARKAHAN!$Y14="LENGKAP",PEMARKAHAN!K14,"")</f>
        <v/>
      </c>
      <c r="I11" s="115">
        <f>IF(PEMARKAHAN!$Y14="LENGKAP",PEMARKAHAN!L14,"")</f>
        <v/>
      </c>
      <c r="J11" s="116">
        <f>IF(PEMARKAHAN!$Y14="LENGKAP",IF(PEMARKAHAN!O14="Ya",0,IF(PEMARKAHAN!P14="Ya",MIN(PEMARKAHAN!M14,2),PEMARKAHAN!M14)),"")</f>
        <v/>
      </c>
      <c r="K11" s="117">
        <f>IF(PEMARKAHAN!$Y14="LENGKAP",N(PEMARKAHAN!Q14),"")</f>
        <v/>
      </c>
      <c r="L11" s="117">
        <f>IF(PEMARKAHAN!$Y14="LENGKAP",N(PEMARKAHAN!R14),"")</f>
        <v/>
      </c>
      <c r="M11" s="118">
        <f>IF(PEMARKAHAN!$Y14="LENGKAP",PEMARKAHAN!X14,"")</f>
        <v/>
      </c>
    </row>
    <row r="12" ht="24" customHeight="1">
      <c r="A12" s="84">
        <f>PEMARKAHAN!B15</f>
        <v/>
      </c>
      <c r="B12" s="109">
        <f>IF(PEMARKAHAN!$Y15="LENGKAP",PEMARKAHAN!E15,"")</f>
        <v/>
      </c>
      <c r="C12" s="110">
        <f>IF(PEMARKAHAN!$Y15="LENGKAP",PEMARKAHAN!F15,"")</f>
        <v/>
      </c>
      <c r="D12" s="111">
        <f>IF(PEMARKAHAN!$Y15="LENGKAP",PEMARKAHAN!G15,"")</f>
        <v/>
      </c>
      <c r="E12" s="86">
        <f>IF(PEMARKAHAN!$Y15="LENGKAP",PEMARKAHAN!H15,"")</f>
        <v/>
      </c>
      <c r="F12" s="112">
        <f>IF(PEMARKAHAN!$Y15="LENGKAP",PEMARKAHAN!I15,"")</f>
        <v/>
      </c>
      <c r="G12" s="113">
        <f>IF(PEMARKAHAN!$Y15="LENGKAP",IF(PEMARKAHAN!N15="Ya",0,PEMARKAHAN!J15),"")</f>
        <v/>
      </c>
      <c r="H12" s="114">
        <f>IF(PEMARKAHAN!$Y15="LENGKAP",PEMARKAHAN!K15,"")</f>
        <v/>
      </c>
      <c r="I12" s="115">
        <f>IF(PEMARKAHAN!$Y15="LENGKAP",PEMARKAHAN!L15,"")</f>
        <v/>
      </c>
      <c r="J12" s="116">
        <f>IF(PEMARKAHAN!$Y15="LENGKAP",IF(PEMARKAHAN!O15="Ya",0,IF(PEMARKAHAN!P15="Ya",MIN(PEMARKAHAN!M15,2),PEMARKAHAN!M15)),"")</f>
        <v/>
      </c>
      <c r="K12" s="117">
        <f>IF(PEMARKAHAN!$Y15="LENGKAP",N(PEMARKAHAN!Q15),"")</f>
        <v/>
      </c>
      <c r="L12" s="117">
        <f>IF(PEMARKAHAN!$Y15="LENGKAP",N(PEMARKAHAN!R15),"")</f>
        <v/>
      </c>
      <c r="M12" s="118">
        <f>IF(PEMARKAHAN!$Y15="LENGKAP",PEMARKAHAN!X15,"")</f>
        <v/>
      </c>
    </row>
    <row r="13" ht="24" customHeight="1">
      <c r="A13" s="84">
        <f>PEMARKAHAN!B16</f>
        <v/>
      </c>
      <c r="B13" s="109">
        <f>IF(PEMARKAHAN!$Y16="LENGKAP",PEMARKAHAN!E16,"")</f>
        <v/>
      </c>
      <c r="C13" s="110">
        <f>IF(PEMARKAHAN!$Y16="LENGKAP",PEMARKAHAN!F16,"")</f>
        <v/>
      </c>
      <c r="D13" s="111">
        <f>IF(PEMARKAHAN!$Y16="LENGKAP",PEMARKAHAN!G16,"")</f>
        <v/>
      </c>
      <c r="E13" s="86">
        <f>IF(PEMARKAHAN!$Y16="LENGKAP",PEMARKAHAN!H16,"")</f>
        <v/>
      </c>
      <c r="F13" s="112">
        <f>IF(PEMARKAHAN!$Y16="LENGKAP",PEMARKAHAN!I16,"")</f>
        <v/>
      </c>
      <c r="G13" s="113">
        <f>IF(PEMARKAHAN!$Y16="LENGKAP",IF(PEMARKAHAN!N16="Ya",0,PEMARKAHAN!J16),"")</f>
        <v/>
      </c>
      <c r="H13" s="114">
        <f>IF(PEMARKAHAN!$Y16="LENGKAP",PEMARKAHAN!K16,"")</f>
        <v/>
      </c>
      <c r="I13" s="115">
        <f>IF(PEMARKAHAN!$Y16="LENGKAP",PEMARKAHAN!L16,"")</f>
        <v/>
      </c>
      <c r="J13" s="116">
        <f>IF(PEMARKAHAN!$Y16="LENGKAP",IF(PEMARKAHAN!O16="Ya",0,IF(PEMARKAHAN!P16="Ya",MIN(PEMARKAHAN!M16,2),PEMARKAHAN!M16)),"")</f>
        <v/>
      </c>
      <c r="K13" s="117">
        <f>IF(PEMARKAHAN!$Y16="LENGKAP",N(PEMARKAHAN!Q16),"")</f>
        <v/>
      </c>
      <c r="L13" s="117">
        <f>IF(PEMARKAHAN!$Y16="LENGKAP",N(PEMARKAHAN!R16),"")</f>
        <v/>
      </c>
      <c r="M13" s="118">
        <f>IF(PEMARKAHAN!$Y16="LENGKAP",PEMARKAHAN!X16,"")</f>
        <v/>
      </c>
    </row>
    <row r="14" ht="24" customHeight="1">
      <c r="A14" s="84">
        <f>PEMARKAHAN!B17</f>
        <v/>
      </c>
      <c r="B14" s="109">
        <f>IF(PEMARKAHAN!$Y17="LENGKAP",PEMARKAHAN!E17,"")</f>
        <v/>
      </c>
      <c r="C14" s="110">
        <f>IF(PEMARKAHAN!$Y17="LENGKAP",PEMARKAHAN!F17,"")</f>
        <v/>
      </c>
      <c r="D14" s="111">
        <f>IF(PEMARKAHAN!$Y17="LENGKAP",PEMARKAHAN!G17,"")</f>
        <v/>
      </c>
      <c r="E14" s="86">
        <f>IF(PEMARKAHAN!$Y17="LENGKAP",PEMARKAHAN!H17,"")</f>
        <v/>
      </c>
      <c r="F14" s="112">
        <f>IF(PEMARKAHAN!$Y17="LENGKAP",PEMARKAHAN!I17,"")</f>
        <v/>
      </c>
      <c r="G14" s="113">
        <f>IF(PEMARKAHAN!$Y17="LENGKAP",IF(PEMARKAHAN!N17="Ya",0,PEMARKAHAN!J17),"")</f>
        <v/>
      </c>
      <c r="H14" s="114">
        <f>IF(PEMARKAHAN!$Y17="LENGKAP",PEMARKAHAN!K17,"")</f>
        <v/>
      </c>
      <c r="I14" s="115">
        <f>IF(PEMARKAHAN!$Y17="LENGKAP",PEMARKAHAN!L17,"")</f>
        <v/>
      </c>
      <c r="J14" s="116">
        <f>IF(PEMARKAHAN!$Y17="LENGKAP",IF(PEMARKAHAN!O17="Ya",0,IF(PEMARKAHAN!P17="Ya",MIN(PEMARKAHAN!M17,2),PEMARKAHAN!M17)),"")</f>
        <v/>
      </c>
      <c r="K14" s="117">
        <f>IF(PEMARKAHAN!$Y17="LENGKAP",N(PEMARKAHAN!Q17),"")</f>
        <v/>
      </c>
      <c r="L14" s="117">
        <f>IF(PEMARKAHAN!$Y17="LENGKAP",N(PEMARKAHAN!R17),"")</f>
        <v/>
      </c>
      <c r="M14" s="118">
        <f>IF(PEMARKAHAN!$Y17="LENGKAP",PEMARKAHAN!X17,"")</f>
        <v/>
      </c>
    </row>
    <row r="15" ht="24" customHeight="1">
      <c r="A15" s="84">
        <f>PEMARKAHAN!B18</f>
        <v/>
      </c>
      <c r="B15" s="109">
        <f>IF(PEMARKAHAN!$Y18="LENGKAP",PEMARKAHAN!E18,"")</f>
        <v/>
      </c>
      <c r="C15" s="110">
        <f>IF(PEMARKAHAN!$Y18="LENGKAP",PEMARKAHAN!F18,"")</f>
        <v/>
      </c>
      <c r="D15" s="111">
        <f>IF(PEMARKAHAN!$Y18="LENGKAP",PEMARKAHAN!G18,"")</f>
        <v/>
      </c>
      <c r="E15" s="86">
        <f>IF(PEMARKAHAN!$Y18="LENGKAP",PEMARKAHAN!H18,"")</f>
        <v/>
      </c>
      <c r="F15" s="112">
        <f>IF(PEMARKAHAN!$Y18="LENGKAP",PEMARKAHAN!I18,"")</f>
        <v/>
      </c>
      <c r="G15" s="113">
        <f>IF(PEMARKAHAN!$Y18="LENGKAP",IF(PEMARKAHAN!N18="Ya",0,PEMARKAHAN!J18),"")</f>
        <v/>
      </c>
      <c r="H15" s="114">
        <f>IF(PEMARKAHAN!$Y18="LENGKAP",PEMARKAHAN!K18,"")</f>
        <v/>
      </c>
      <c r="I15" s="115">
        <f>IF(PEMARKAHAN!$Y18="LENGKAP",PEMARKAHAN!L18,"")</f>
        <v/>
      </c>
      <c r="J15" s="116">
        <f>IF(PEMARKAHAN!$Y18="LENGKAP",IF(PEMARKAHAN!O18="Ya",0,IF(PEMARKAHAN!P18="Ya",MIN(PEMARKAHAN!M18,2),PEMARKAHAN!M18)),"")</f>
        <v/>
      </c>
      <c r="K15" s="117">
        <f>IF(PEMARKAHAN!$Y18="LENGKAP",N(PEMARKAHAN!Q18),"")</f>
        <v/>
      </c>
      <c r="L15" s="117">
        <f>IF(PEMARKAHAN!$Y18="LENGKAP",N(PEMARKAHAN!R18),"")</f>
        <v/>
      </c>
      <c r="M15" s="118">
        <f>IF(PEMARKAHAN!$Y18="LENGKAP",PEMARKAHAN!X18,"")</f>
        <v/>
      </c>
    </row>
    <row r="16" ht="24" customHeight="1">
      <c r="A16" s="84">
        <f>PEMARKAHAN!B19</f>
        <v/>
      </c>
      <c r="B16" s="109">
        <f>IF(PEMARKAHAN!$Y19="LENGKAP",PEMARKAHAN!E19,"")</f>
        <v/>
      </c>
      <c r="C16" s="110">
        <f>IF(PEMARKAHAN!$Y19="LENGKAP",PEMARKAHAN!F19,"")</f>
        <v/>
      </c>
      <c r="D16" s="111">
        <f>IF(PEMARKAHAN!$Y19="LENGKAP",PEMARKAHAN!G19,"")</f>
        <v/>
      </c>
      <c r="E16" s="86">
        <f>IF(PEMARKAHAN!$Y19="LENGKAP",PEMARKAHAN!H19,"")</f>
        <v/>
      </c>
      <c r="F16" s="112">
        <f>IF(PEMARKAHAN!$Y19="LENGKAP",PEMARKAHAN!I19,"")</f>
        <v/>
      </c>
      <c r="G16" s="113">
        <f>IF(PEMARKAHAN!$Y19="LENGKAP",IF(PEMARKAHAN!N19="Ya",0,PEMARKAHAN!J19),"")</f>
        <v/>
      </c>
      <c r="H16" s="114">
        <f>IF(PEMARKAHAN!$Y19="LENGKAP",PEMARKAHAN!K19,"")</f>
        <v/>
      </c>
      <c r="I16" s="115">
        <f>IF(PEMARKAHAN!$Y19="LENGKAP",PEMARKAHAN!L19,"")</f>
        <v/>
      </c>
      <c r="J16" s="116">
        <f>IF(PEMARKAHAN!$Y19="LENGKAP",IF(PEMARKAHAN!O19="Ya",0,IF(PEMARKAHAN!P19="Ya",MIN(PEMARKAHAN!M19,2),PEMARKAHAN!M19)),"")</f>
        <v/>
      </c>
      <c r="K16" s="117">
        <f>IF(PEMARKAHAN!$Y19="LENGKAP",N(PEMARKAHAN!Q19),"")</f>
        <v/>
      </c>
      <c r="L16" s="117">
        <f>IF(PEMARKAHAN!$Y19="LENGKAP",N(PEMARKAHAN!R19),"")</f>
        <v/>
      </c>
      <c r="M16" s="118">
        <f>IF(PEMARKAHAN!$Y19="LENGKAP",PEMARKAHAN!X19,"")</f>
        <v/>
      </c>
    </row>
    <row r="17" ht="24" customHeight="1">
      <c r="A17" s="84">
        <f>PEMARKAHAN!B20</f>
        <v/>
      </c>
      <c r="B17" s="109">
        <f>IF(PEMARKAHAN!$Y20="LENGKAP",PEMARKAHAN!E20,"")</f>
        <v/>
      </c>
      <c r="C17" s="110">
        <f>IF(PEMARKAHAN!$Y20="LENGKAP",PEMARKAHAN!F20,"")</f>
        <v/>
      </c>
      <c r="D17" s="111">
        <f>IF(PEMARKAHAN!$Y20="LENGKAP",PEMARKAHAN!G20,"")</f>
        <v/>
      </c>
      <c r="E17" s="86">
        <f>IF(PEMARKAHAN!$Y20="LENGKAP",PEMARKAHAN!H20,"")</f>
        <v/>
      </c>
      <c r="F17" s="112">
        <f>IF(PEMARKAHAN!$Y20="LENGKAP",PEMARKAHAN!I20,"")</f>
        <v/>
      </c>
      <c r="G17" s="113">
        <f>IF(PEMARKAHAN!$Y20="LENGKAP",IF(PEMARKAHAN!N20="Ya",0,PEMARKAHAN!J20),"")</f>
        <v/>
      </c>
      <c r="H17" s="114">
        <f>IF(PEMARKAHAN!$Y20="LENGKAP",PEMARKAHAN!K20,"")</f>
        <v/>
      </c>
      <c r="I17" s="115">
        <f>IF(PEMARKAHAN!$Y20="LENGKAP",PEMARKAHAN!L20,"")</f>
        <v/>
      </c>
      <c r="J17" s="116">
        <f>IF(PEMARKAHAN!$Y20="LENGKAP",IF(PEMARKAHAN!O20="Ya",0,IF(PEMARKAHAN!P20="Ya",MIN(PEMARKAHAN!M20,2),PEMARKAHAN!M20)),"")</f>
        <v/>
      </c>
      <c r="K17" s="117">
        <f>IF(PEMARKAHAN!$Y20="LENGKAP",N(PEMARKAHAN!Q20),"")</f>
        <v/>
      </c>
      <c r="L17" s="117">
        <f>IF(PEMARKAHAN!$Y20="LENGKAP",N(PEMARKAHAN!R20),"")</f>
        <v/>
      </c>
      <c r="M17" s="118">
        <f>IF(PEMARKAHAN!$Y20="LENGKAP",PEMARKAHAN!X20,"")</f>
        <v/>
      </c>
    </row>
    <row r="18" ht="24" customHeight="1">
      <c r="A18" s="84">
        <f>PEMARKAHAN!B21</f>
        <v/>
      </c>
      <c r="B18" s="109">
        <f>IF(PEMARKAHAN!$Y21="LENGKAP",PEMARKAHAN!E21,"")</f>
        <v/>
      </c>
      <c r="C18" s="110">
        <f>IF(PEMARKAHAN!$Y21="LENGKAP",PEMARKAHAN!F21,"")</f>
        <v/>
      </c>
      <c r="D18" s="111">
        <f>IF(PEMARKAHAN!$Y21="LENGKAP",PEMARKAHAN!G21,"")</f>
        <v/>
      </c>
      <c r="E18" s="86">
        <f>IF(PEMARKAHAN!$Y21="LENGKAP",PEMARKAHAN!H21,"")</f>
        <v/>
      </c>
      <c r="F18" s="112">
        <f>IF(PEMARKAHAN!$Y21="LENGKAP",PEMARKAHAN!I21,"")</f>
        <v/>
      </c>
      <c r="G18" s="113">
        <f>IF(PEMARKAHAN!$Y21="LENGKAP",IF(PEMARKAHAN!N21="Ya",0,PEMARKAHAN!J21),"")</f>
        <v/>
      </c>
      <c r="H18" s="114">
        <f>IF(PEMARKAHAN!$Y21="LENGKAP",PEMARKAHAN!K21,"")</f>
        <v/>
      </c>
      <c r="I18" s="115">
        <f>IF(PEMARKAHAN!$Y21="LENGKAP",PEMARKAHAN!L21,"")</f>
        <v/>
      </c>
      <c r="J18" s="116">
        <f>IF(PEMARKAHAN!$Y21="LENGKAP",IF(PEMARKAHAN!O21="Ya",0,IF(PEMARKAHAN!P21="Ya",MIN(PEMARKAHAN!M21,2),PEMARKAHAN!M21)),"")</f>
        <v/>
      </c>
      <c r="K18" s="117">
        <f>IF(PEMARKAHAN!$Y21="LENGKAP",N(PEMARKAHAN!Q21),"")</f>
        <v/>
      </c>
      <c r="L18" s="117">
        <f>IF(PEMARKAHAN!$Y21="LENGKAP",N(PEMARKAHAN!R21),"")</f>
        <v/>
      </c>
      <c r="M18" s="118">
        <f>IF(PEMARKAHAN!$Y21="LENGKAP",PEMARKAHAN!X21,"")</f>
        <v/>
      </c>
    </row>
  </sheetData>
  <mergeCells count="4">
    <mergeCell ref="E3:H3"/>
    <mergeCell ref="C3:D3"/>
    <mergeCell ref="A2:M2"/>
    <mergeCell ref="A1:M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B8860B"/>
    <outlinePr summaryBelow="1" summaryRight="1"/>
    <pageSetUpPr fitToPage="1"/>
  </sheetPr>
  <dimension ref="A1:O5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9" customWidth="1" min="14" max="14"/>
    <col width="11" customWidth="1" min="15" max="15"/>
  </cols>
  <sheetData>
    <row r="1" ht="32" customHeight="1">
      <c r="A1" s="119" t="inlineStr">
        <is>
          <t>BORANG PEMARKAHAN PANEL HAKIM  |  CDKK @FESMA 2026  |  KERTAS SANDARAN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3" t="inlineStr">
        <is>
          <t>Guna pen biru atau hitam. Markah NOMBOR BULAT dalam had maksimum. Serahkan borang ini kepada Urusetia Kehakiman jika komputer bermasalah.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6" customHeight="1">
      <c r="A3" s="5" t="n"/>
      <c r="B3" s="6" t="n"/>
      <c r="C3" s="7" t="n"/>
      <c r="D3" s="8" t="n"/>
      <c r="E3" s="27" t="n"/>
      <c r="F3" s="32" t="n"/>
      <c r="G3" s="44" t="n"/>
      <c r="H3" s="45" t="n"/>
      <c r="I3" s="46" t="n"/>
      <c r="J3" s="5" t="n"/>
      <c r="K3" s="6" t="n"/>
      <c r="L3" s="7" t="n"/>
      <c r="M3" s="8" t="n"/>
      <c r="N3" s="27" t="n"/>
      <c r="O3" s="32" t="n"/>
    </row>
    <row r="4" ht="26" customHeight="1">
      <c r="A4" s="35" t="inlineStr">
        <is>
          <t>Nama hakim:</t>
        </is>
      </c>
      <c r="B4" s="36" t="n"/>
      <c r="C4" s="36" t="n"/>
      <c r="D4" s="120" t="n"/>
      <c r="E4" s="121" t="n"/>
      <c r="F4" s="35" t="inlineStr">
        <is>
          <t>Kod (H1 / H2 / H3):</t>
        </is>
      </c>
      <c r="G4" s="36" t="n"/>
      <c r="H4" s="36" t="n"/>
      <c r="I4" s="120" t="n"/>
      <c r="J4" s="121" t="n"/>
      <c r="K4" s="35" t="inlineStr">
        <is>
          <t>Tarikh:</t>
        </is>
      </c>
      <c r="L4" s="36" t="n"/>
      <c r="M4" s="120" t="n"/>
      <c r="N4" s="35" t="inlineStr">
        <is>
          <t>Masa mula:</t>
        </is>
      </c>
      <c r="O4" s="36" t="n"/>
    </row>
    <row r="5" ht="8" customHeight="1"/>
    <row r="6" ht="48" customHeight="1">
      <c r="A6" s="58" t="inlineStr">
        <is>
          <t>Bil</t>
        </is>
      </c>
      <c r="B6" s="58" t="inlineStr">
        <is>
          <t>Negeri</t>
        </is>
      </c>
      <c r="C6" s="58" t="inlineStr">
        <is>
          <t>Pasukan</t>
        </is>
      </c>
      <c r="D6" s="59" t="inlineStr">
        <is>
          <t>Kreativiti konsep dan visual</t>
        </is>
      </c>
      <c r="E6" s="60" t="inlineStr">
        <is>
          <t>Kandungan, fakta dan mesej</t>
        </is>
      </c>
      <c r="F6" s="61" t="inlineStr">
        <is>
          <t>Canva</t>
        </is>
      </c>
      <c r="G6" s="62" t="inlineStr">
        <is>
          <t>AI (imej, watak, avatar)</t>
        </is>
      </c>
      <c r="H6" s="63" t="inlineStr">
        <is>
          <t>CapCut dan video</t>
        </is>
      </c>
      <c r="I6" s="64" t="inlineStr">
        <is>
          <t>Audio (lagu, muzik, suara)</t>
        </is>
      </c>
      <c r="J6" s="65" t="inlineStr">
        <is>
          <t>Etika, sumber, deklarasi AI</t>
        </is>
      </c>
      <c r="K6" s="66" t="inlineStr">
        <is>
          <t>Persembahan dan soal jawab</t>
        </is>
      </c>
      <c r="L6" s="67" t="inlineStr">
        <is>
          <t>Watak AURORA</t>
        </is>
      </c>
      <c r="M6" s="69" t="inlineStr">
        <is>
          <t>Jumlah komponen</t>
        </is>
      </c>
      <c r="N6" s="68" t="inlineStr">
        <is>
          <t>Penalti</t>
        </is>
      </c>
      <c r="O6" s="69" t="inlineStr">
        <is>
          <t>JUMLAH AKHIR</t>
        </is>
      </c>
    </row>
    <row r="7" ht="26" customHeight="1">
      <c r="A7" s="70" t="inlineStr"/>
      <c r="B7" s="71" t="inlineStr">
        <is>
          <t>Maksimum</t>
        </is>
      </c>
      <c r="C7" s="70" t="inlineStr"/>
      <c r="D7" s="72" t="n">
        <v>20</v>
      </c>
      <c r="E7" s="73" t="n">
        <v>15</v>
      </c>
      <c r="F7" s="74" t="n">
        <v>15</v>
      </c>
      <c r="G7" s="75" t="n">
        <v>10</v>
      </c>
      <c r="H7" s="76" t="n">
        <v>10</v>
      </c>
      <c r="I7" s="77" t="n">
        <v>10</v>
      </c>
      <c r="J7" s="78" t="n">
        <v>5</v>
      </c>
      <c r="K7" s="79" t="n">
        <v>10</v>
      </c>
      <c r="L7" s="80" t="n">
        <v>5</v>
      </c>
      <c r="M7" s="82" t="n">
        <v>100</v>
      </c>
      <c r="N7" s="122" t="inlineStr">
        <is>
          <t>maks 5</t>
        </is>
      </c>
      <c r="O7" s="82" t="n">
        <v>100</v>
      </c>
    </row>
    <row r="8" ht="30" customHeight="1">
      <c r="A8" s="83" t="n">
        <v>1</v>
      </c>
      <c r="B8" s="123" t="inlineStr">
        <is>
          <t>PERLIS</t>
        </is>
      </c>
      <c r="C8" s="124" t="inlineStr">
        <is>
          <t>NOVA</t>
        </is>
      </c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126" t="n"/>
      <c r="O8" s="126" t="n"/>
    </row>
    <row r="9" ht="30" customHeight="1">
      <c r="A9" s="94" t="n">
        <v>2</v>
      </c>
      <c r="B9" s="123" t="inlineStr">
        <is>
          <t>KEDAH</t>
        </is>
      </c>
      <c r="C9" s="124" t="inlineStr">
        <is>
          <t>KDH BUDDY</t>
        </is>
      </c>
      <c r="D9" s="125" t="n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6" t="n"/>
      <c r="N9" s="126" t="n"/>
      <c r="O9" s="126" t="n"/>
    </row>
    <row r="10" ht="30" customHeight="1">
      <c r="A10" s="95" t="n">
        <v>3</v>
      </c>
      <c r="B10" s="123" t="inlineStr">
        <is>
          <t>PULAU PINANG</t>
        </is>
      </c>
      <c r="C10" s="124" t="inlineStr">
        <is>
          <t>RAFIQ RANGERS</t>
        </is>
      </c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6" t="n"/>
      <c r="N10" s="126" t="n"/>
      <c r="O10" s="126" t="n"/>
    </row>
    <row r="11" ht="30" customHeight="1">
      <c r="A11" s="96" t="n">
        <v>4</v>
      </c>
      <c r="B11" s="123" t="inlineStr">
        <is>
          <t>KELANTAN</t>
        </is>
      </c>
      <c r="C11" s="124" t="inlineStr">
        <is>
          <t>SHE ATE</t>
        </is>
      </c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6" t="n"/>
      <c r="N11" s="126" t="n"/>
      <c r="O11" s="126" t="n"/>
    </row>
    <row r="12" ht="30" customHeight="1">
      <c r="A12" s="97" t="n">
        <v>5</v>
      </c>
      <c r="B12" s="123" t="inlineStr">
        <is>
          <t>TERENGGANU</t>
        </is>
      </c>
      <c r="C12" s="124" t="inlineStr">
        <is>
          <t>WIRAWATI CYBER</t>
        </is>
      </c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126" t="n"/>
      <c r="O12" s="126" t="n"/>
    </row>
    <row r="13" ht="30" customHeight="1">
      <c r="A13" s="98" t="n">
        <v>6</v>
      </c>
      <c r="B13" s="123" t="inlineStr">
        <is>
          <t>PAHANG</t>
        </is>
      </c>
      <c r="C13" s="124" t="inlineStr">
        <is>
          <t>YH SRIKANDI</t>
        </is>
      </c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126" t="n"/>
      <c r="O13" s="126" t="n"/>
    </row>
    <row r="14" ht="30" customHeight="1">
      <c r="A14" s="99" t="n">
        <v>7</v>
      </c>
      <c r="B14" s="123" t="inlineStr">
        <is>
          <t>NEGERI SEMBILAN</t>
        </is>
      </c>
      <c r="C14" s="124" t="inlineStr">
        <is>
          <t>WAGHIH TECHNOVA</t>
        </is>
      </c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6" t="n"/>
      <c r="N14" s="126" t="n"/>
      <c r="O14" s="126" t="n"/>
    </row>
    <row r="15" ht="30" customHeight="1">
      <c r="A15" s="100" t="n">
        <v>8</v>
      </c>
      <c r="B15" s="123" t="inlineStr">
        <is>
          <t>MELAKA</t>
        </is>
      </c>
      <c r="C15" s="124" t="inlineStr">
        <is>
          <t>TUN TEJA</t>
        </is>
      </c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6" t="n"/>
      <c r="N15" s="126" t="n"/>
      <c r="O15" s="126" t="n"/>
    </row>
    <row r="16" ht="30" customHeight="1">
      <c r="A16" s="101" t="n">
        <v>9</v>
      </c>
      <c r="B16" s="123" t="inlineStr">
        <is>
          <t>PERAK</t>
        </is>
      </c>
      <c r="C16" s="124" t="inlineStr">
        <is>
          <t>VORTEX</t>
        </is>
      </c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6" t="n"/>
      <c r="N16" s="126" t="n"/>
      <c r="O16" s="126" t="n"/>
    </row>
    <row r="17" ht="30" customHeight="1">
      <c r="A17" s="83" t="n">
        <v>10</v>
      </c>
      <c r="B17" s="123" t="inlineStr">
        <is>
          <t>SELANGOR</t>
        </is>
      </c>
      <c r="C17" s="124" t="inlineStr">
        <is>
          <t>BYTESYNC</t>
        </is>
      </c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6" t="n"/>
      <c r="N17" s="126" t="n"/>
      <c r="O17" s="126" t="n"/>
    </row>
    <row r="18" ht="30" customHeight="1">
      <c r="A18" s="94" t="n">
        <v>11</v>
      </c>
      <c r="B18" s="123" t="inlineStr">
        <is>
          <t>JOHOR</t>
        </is>
      </c>
      <c r="C18" s="124" t="inlineStr">
        <is>
          <t>DWI KARYA</t>
        </is>
      </c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6" t="n"/>
      <c r="N18" s="126" t="n"/>
      <c r="O18" s="126" t="n"/>
    </row>
    <row r="19" ht="30" customHeight="1">
      <c r="A19" s="95" t="n">
        <v>12</v>
      </c>
      <c r="B19" s="123" t="inlineStr">
        <is>
          <t>WILAYAH PERSEKUTUAN</t>
        </is>
      </c>
      <c r="C19" s="124" t="inlineStr">
        <is>
          <t>SRIKANDI ULTRA</t>
        </is>
      </c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6" t="n"/>
      <c r="N19" s="126" t="n"/>
      <c r="O19" s="126" t="n"/>
    </row>
    <row r="20" ht="30" customHeight="1">
      <c r="A20" s="96" t="n">
        <v>13</v>
      </c>
      <c r="B20" s="123" t="inlineStr">
        <is>
          <t>SARAWAK</t>
        </is>
      </c>
      <c r="C20" s="124" t="inlineStr">
        <is>
          <t>KENYALANG WARRIOR</t>
        </is>
      </c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6" t="n"/>
      <c r="N20" s="126" t="n"/>
      <c r="O20" s="126" t="n"/>
    </row>
    <row r="21" ht="30" customHeight="1">
      <c r="A21" s="97" t="n">
        <v>14</v>
      </c>
      <c r="B21" s="123" t="inlineStr">
        <is>
          <t>SABAH</t>
        </is>
      </c>
      <c r="C21" s="124" t="inlineStr">
        <is>
          <t>BORNEO FRAME</t>
        </is>
      </c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6" t="n"/>
      <c r="N21" s="126" t="n"/>
      <c r="O21" s="126" t="n"/>
    </row>
    <row r="23" ht="26" customHeight="1">
      <c r="A23" s="127" t="inlineStr">
        <is>
          <t>PERATURAN KOMPONEN (tetapkan dahulu, kemudian isi markah): video senyap = Audio 0  |  tiada watak AURORA = AURORA 0  |  AURORA imej pegun = AURORA maksimum 2.</t>
        </is>
      </c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</row>
    <row r="24" ht="26" customHeight="1">
      <c r="A24" s="127" t="inlineStr">
        <is>
          <t>Jika markah sesuatu komponen KURANG DARIPADA 60% maksimumnya (cth. Kreativiti bawah 12, Kandungan bawah 9), tulis justifikasi pada muka 2.</t>
        </is>
      </c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</row>
    <row r="25" ht="26" customHeight="1">
      <c r="A25" s="127" t="inlineStr">
        <is>
          <t>JUMLAH AKHIR = Jumlah komponen ditolak Penalti, tidak kurang daripada 0. Penalti (status aset 0 hingga 3, budi bicara 0 hingga 2) diputuskan oleh hakim sendiri dengan sebab bertulis pada muka 2.</t>
        </is>
      </c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</row>
    <row r="26" ht="6" customHeight="1"/>
    <row r="27" ht="32" customHeight="1">
      <c r="A27" s="129" t="inlineStr">
        <is>
          <t>MUKA 2  |  PENALTI, JUSTIFIKASI DAN PERAKUAN HAKIM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 ht="48" customHeight="1">
      <c r="A28" s="58" t="inlineStr">
        <is>
          <t>Bil</t>
        </is>
      </c>
      <c r="B28" s="58" t="inlineStr">
        <is>
          <t>Negeri</t>
        </is>
      </c>
      <c r="C28" s="58" t="inlineStr">
        <is>
          <t>Pasukan</t>
        </is>
      </c>
      <c r="D28" s="62" t="inlineStr">
        <is>
          <t>Audio senyap</t>
        </is>
      </c>
      <c r="E28" s="62" t="inlineStr">
        <is>
          <t>Tiada AURORA</t>
        </is>
      </c>
      <c r="F28" s="62" t="inlineStr">
        <is>
          <t>AURORA pegun</t>
        </is>
      </c>
      <c r="G28" s="68" t="inlineStr">
        <is>
          <t>Penalti aset (0-3)</t>
        </is>
      </c>
      <c r="H28" s="68" t="inlineStr">
        <is>
          <t>Penalti budi (0-2)</t>
        </is>
      </c>
      <c r="I28" s="61" t="inlineStr">
        <is>
          <t>Sebab penalti (wajib jika ada penalti)</t>
        </is>
      </c>
      <c r="J28" s="104" t="n"/>
      <c r="K28" s="104" t="n"/>
      <c r="L28" s="63" t="inlineStr">
        <is>
          <t>Justifikasi komponen bawah 60% (nyatakan komponen)</t>
        </is>
      </c>
      <c r="M28" s="130" t="n"/>
      <c r="N28" s="130" t="n"/>
      <c r="O28" s="130" t="n"/>
    </row>
    <row r="29" ht="24" customHeight="1">
      <c r="A29" s="83" t="n">
        <v>1</v>
      </c>
      <c r="B29" s="123" t="inlineStr">
        <is>
          <t>PERLIS</t>
        </is>
      </c>
      <c r="C29" s="124" t="inlineStr">
        <is>
          <t>NOVA</t>
        </is>
      </c>
      <c r="D29" s="131" t="inlineStr">
        <is>
          <t>[  ]</t>
        </is>
      </c>
      <c r="E29" s="131" t="inlineStr">
        <is>
          <t>[  ]</t>
        </is>
      </c>
      <c r="F29" s="131" t="inlineStr">
        <is>
          <t>[  ]</t>
        </is>
      </c>
      <c r="G29" s="132" t="n"/>
      <c r="H29" s="132" t="n"/>
      <c r="I29" s="133" t="n"/>
      <c r="J29" s="134" t="n"/>
      <c r="K29" s="134" t="n"/>
      <c r="L29" s="133" t="n"/>
      <c r="M29" s="134" t="n"/>
      <c r="N29" s="134" t="n"/>
      <c r="O29" s="134" t="n"/>
    </row>
    <row r="30" ht="24" customHeight="1">
      <c r="A30" s="94" t="n">
        <v>2</v>
      </c>
      <c r="B30" s="123" t="inlineStr">
        <is>
          <t>KEDAH</t>
        </is>
      </c>
      <c r="C30" s="124" t="inlineStr">
        <is>
          <t>KDH BUDDY</t>
        </is>
      </c>
      <c r="D30" s="131" t="inlineStr">
        <is>
          <t>[  ]</t>
        </is>
      </c>
      <c r="E30" s="131" t="inlineStr">
        <is>
          <t>[  ]</t>
        </is>
      </c>
      <c r="F30" s="131" t="inlineStr">
        <is>
          <t>[  ]</t>
        </is>
      </c>
      <c r="G30" s="132" t="n"/>
      <c r="H30" s="132" t="n"/>
      <c r="I30" s="133" t="n"/>
      <c r="J30" s="134" t="n"/>
      <c r="K30" s="134" t="n"/>
      <c r="L30" s="133" t="n"/>
      <c r="M30" s="134" t="n"/>
      <c r="N30" s="134" t="n"/>
      <c r="O30" s="134" t="n"/>
    </row>
    <row r="31" ht="24" customHeight="1">
      <c r="A31" s="95" t="n">
        <v>3</v>
      </c>
      <c r="B31" s="123" t="inlineStr">
        <is>
          <t>PULAU PINANG</t>
        </is>
      </c>
      <c r="C31" s="124" t="inlineStr">
        <is>
          <t>RAFIQ RANGERS</t>
        </is>
      </c>
      <c r="D31" s="131" t="inlineStr">
        <is>
          <t>[  ]</t>
        </is>
      </c>
      <c r="E31" s="131" t="inlineStr">
        <is>
          <t>[  ]</t>
        </is>
      </c>
      <c r="F31" s="131" t="inlineStr">
        <is>
          <t>[  ]</t>
        </is>
      </c>
      <c r="G31" s="132" t="n"/>
      <c r="H31" s="132" t="n"/>
      <c r="I31" s="133" t="n"/>
      <c r="J31" s="134" t="n"/>
      <c r="K31" s="134" t="n"/>
      <c r="L31" s="133" t="n"/>
      <c r="M31" s="134" t="n"/>
      <c r="N31" s="134" t="n"/>
      <c r="O31" s="134" t="n"/>
    </row>
    <row r="32" ht="24" customHeight="1">
      <c r="A32" s="96" t="n">
        <v>4</v>
      </c>
      <c r="B32" s="123" t="inlineStr">
        <is>
          <t>KELANTAN</t>
        </is>
      </c>
      <c r="C32" s="124" t="inlineStr">
        <is>
          <t>SHE ATE</t>
        </is>
      </c>
      <c r="D32" s="131" t="inlineStr">
        <is>
          <t>[  ]</t>
        </is>
      </c>
      <c r="E32" s="131" t="inlineStr">
        <is>
          <t>[  ]</t>
        </is>
      </c>
      <c r="F32" s="131" t="inlineStr">
        <is>
          <t>[  ]</t>
        </is>
      </c>
      <c r="G32" s="132" t="n"/>
      <c r="H32" s="132" t="n"/>
      <c r="I32" s="133" t="n"/>
      <c r="J32" s="134" t="n"/>
      <c r="K32" s="134" t="n"/>
      <c r="L32" s="133" t="n"/>
      <c r="M32" s="134" t="n"/>
      <c r="N32" s="134" t="n"/>
      <c r="O32" s="134" t="n"/>
    </row>
    <row r="33" ht="24" customHeight="1">
      <c r="A33" s="97" t="n">
        <v>5</v>
      </c>
      <c r="B33" s="123" t="inlineStr">
        <is>
          <t>TERENGGANU</t>
        </is>
      </c>
      <c r="C33" s="124" t="inlineStr">
        <is>
          <t>WIRAWATI CYBER</t>
        </is>
      </c>
      <c r="D33" s="131" t="inlineStr">
        <is>
          <t>[  ]</t>
        </is>
      </c>
      <c r="E33" s="131" t="inlineStr">
        <is>
          <t>[  ]</t>
        </is>
      </c>
      <c r="F33" s="131" t="inlineStr">
        <is>
          <t>[  ]</t>
        </is>
      </c>
      <c r="G33" s="132" t="n"/>
      <c r="H33" s="132" t="n"/>
      <c r="I33" s="133" t="n"/>
      <c r="J33" s="134" t="n"/>
      <c r="K33" s="134" t="n"/>
      <c r="L33" s="133" t="n"/>
      <c r="M33" s="134" t="n"/>
      <c r="N33" s="134" t="n"/>
      <c r="O33" s="134" t="n"/>
    </row>
    <row r="34" ht="24" customHeight="1">
      <c r="A34" s="98" t="n">
        <v>6</v>
      </c>
      <c r="B34" s="123" t="inlineStr">
        <is>
          <t>PAHANG</t>
        </is>
      </c>
      <c r="C34" s="124" t="inlineStr">
        <is>
          <t>YH SRIKANDI</t>
        </is>
      </c>
      <c r="D34" s="131" t="inlineStr">
        <is>
          <t>[  ]</t>
        </is>
      </c>
      <c r="E34" s="131" t="inlineStr">
        <is>
          <t>[  ]</t>
        </is>
      </c>
      <c r="F34" s="131" t="inlineStr">
        <is>
          <t>[  ]</t>
        </is>
      </c>
      <c r="G34" s="132" t="n"/>
      <c r="H34" s="132" t="n"/>
      <c r="I34" s="133" t="n"/>
      <c r="J34" s="134" t="n"/>
      <c r="K34" s="134" t="n"/>
      <c r="L34" s="133" t="n"/>
      <c r="M34" s="134" t="n"/>
      <c r="N34" s="134" t="n"/>
      <c r="O34" s="134" t="n"/>
    </row>
    <row r="35" ht="24" customHeight="1">
      <c r="A35" s="99" t="n">
        <v>7</v>
      </c>
      <c r="B35" s="123" t="inlineStr">
        <is>
          <t>NEGERI SEMBILAN</t>
        </is>
      </c>
      <c r="C35" s="124" t="inlineStr">
        <is>
          <t>WAGHIH TECHNOVA</t>
        </is>
      </c>
      <c r="D35" s="131" t="inlineStr">
        <is>
          <t>[  ]</t>
        </is>
      </c>
      <c r="E35" s="131" t="inlineStr">
        <is>
          <t>[  ]</t>
        </is>
      </c>
      <c r="F35" s="131" t="inlineStr">
        <is>
          <t>[  ]</t>
        </is>
      </c>
      <c r="G35" s="132" t="n"/>
      <c r="H35" s="132" t="n"/>
      <c r="I35" s="133" t="n"/>
      <c r="J35" s="134" t="n"/>
      <c r="K35" s="134" t="n"/>
      <c r="L35" s="133" t="n"/>
      <c r="M35" s="134" t="n"/>
      <c r="N35" s="134" t="n"/>
      <c r="O35" s="134" t="n"/>
    </row>
    <row r="36" ht="24" customHeight="1">
      <c r="A36" s="100" t="n">
        <v>8</v>
      </c>
      <c r="B36" s="123" t="inlineStr">
        <is>
          <t>MELAKA</t>
        </is>
      </c>
      <c r="C36" s="124" t="inlineStr">
        <is>
          <t>TUN TEJA</t>
        </is>
      </c>
      <c r="D36" s="131" t="inlineStr">
        <is>
          <t>[  ]</t>
        </is>
      </c>
      <c r="E36" s="131" t="inlineStr">
        <is>
          <t>[  ]</t>
        </is>
      </c>
      <c r="F36" s="131" t="inlineStr">
        <is>
          <t>[  ]</t>
        </is>
      </c>
      <c r="G36" s="132" t="n"/>
      <c r="H36" s="132" t="n"/>
      <c r="I36" s="133" t="n"/>
      <c r="J36" s="134" t="n"/>
      <c r="K36" s="134" t="n"/>
      <c r="L36" s="133" t="n"/>
      <c r="M36" s="134" t="n"/>
      <c r="N36" s="134" t="n"/>
      <c r="O36" s="134" t="n"/>
    </row>
    <row r="37" ht="24" customHeight="1">
      <c r="A37" s="101" t="n">
        <v>9</v>
      </c>
      <c r="B37" s="123" t="inlineStr">
        <is>
          <t>PERAK</t>
        </is>
      </c>
      <c r="C37" s="124" t="inlineStr">
        <is>
          <t>VORTEX</t>
        </is>
      </c>
      <c r="D37" s="131" t="inlineStr">
        <is>
          <t>[  ]</t>
        </is>
      </c>
      <c r="E37" s="131" t="inlineStr">
        <is>
          <t>[  ]</t>
        </is>
      </c>
      <c r="F37" s="131" t="inlineStr">
        <is>
          <t>[  ]</t>
        </is>
      </c>
      <c r="G37" s="132" t="n"/>
      <c r="H37" s="132" t="n"/>
      <c r="I37" s="133" t="n"/>
      <c r="J37" s="134" t="n"/>
      <c r="K37" s="134" t="n"/>
      <c r="L37" s="133" t="n"/>
      <c r="M37" s="134" t="n"/>
      <c r="N37" s="134" t="n"/>
      <c r="O37" s="134" t="n"/>
    </row>
    <row r="38" ht="24" customHeight="1">
      <c r="A38" s="83" t="n">
        <v>10</v>
      </c>
      <c r="B38" s="123" t="inlineStr">
        <is>
          <t>SELANGOR</t>
        </is>
      </c>
      <c r="C38" s="124" t="inlineStr">
        <is>
          <t>BYTESYNC</t>
        </is>
      </c>
      <c r="D38" s="131" t="inlineStr">
        <is>
          <t>[  ]</t>
        </is>
      </c>
      <c r="E38" s="131" t="inlineStr">
        <is>
          <t>[  ]</t>
        </is>
      </c>
      <c r="F38" s="131" t="inlineStr">
        <is>
          <t>[  ]</t>
        </is>
      </c>
      <c r="G38" s="132" t="n"/>
      <c r="H38" s="132" t="n"/>
      <c r="I38" s="133" t="n"/>
      <c r="J38" s="134" t="n"/>
      <c r="K38" s="134" t="n"/>
      <c r="L38" s="133" t="n"/>
      <c r="M38" s="134" t="n"/>
      <c r="N38" s="134" t="n"/>
      <c r="O38" s="134" t="n"/>
    </row>
    <row r="39" ht="24" customHeight="1">
      <c r="A39" s="94" t="n">
        <v>11</v>
      </c>
      <c r="B39" s="123" t="inlineStr">
        <is>
          <t>JOHOR</t>
        </is>
      </c>
      <c r="C39" s="124" t="inlineStr">
        <is>
          <t>DWI KARYA</t>
        </is>
      </c>
      <c r="D39" s="131" t="inlineStr">
        <is>
          <t>[  ]</t>
        </is>
      </c>
      <c r="E39" s="131" t="inlineStr">
        <is>
          <t>[  ]</t>
        </is>
      </c>
      <c r="F39" s="131" t="inlineStr">
        <is>
          <t>[  ]</t>
        </is>
      </c>
      <c r="G39" s="132" t="n"/>
      <c r="H39" s="132" t="n"/>
      <c r="I39" s="133" t="n"/>
      <c r="J39" s="134" t="n"/>
      <c r="K39" s="134" t="n"/>
      <c r="L39" s="133" t="n"/>
      <c r="M39" s="134" t="n"/>
      <c r="N39" s="134" t="n"/>
      <c r="O39" s="134" t="n"/>
    </row>
    <row r="40" ht="24" customHeight="1">
      <c r="A40" s="95" t="n">
        <v>12</v>
      </c>
      <c r="B40" s="123" t="inlineStr">
        <is>
          <t>WILAYAH PERSEKUTUAN</t>
        </is>
      </c>
      <c r="C40" s="124" t="inlineStr">
        <is>
          <t>SRIKANDI ULTRA</t>
        </is>
      </c>
      <c r="D40" s="131" t="inlineStr">
        <is>
          <t>[  ]</t>
        </is>
      </c>
      <c r="E40" s="131" t="inlineStr">
        <is>
          <t>[  ]</t>
        </is>
      </c>
      <c r="F40" s="131" t="inlineStr">
        <is>
          <t>[  ]</t>
        </is>
      </c>
      <c r="G40" s="132" t="n"/>
      <c r="H40" s="132" t="n"/>
      <c r="I40" s="133" t="n"/>
      <c r="J40" s="134" t="n"/>
      <c r="K40" s="134" t="n"/>
      <c r="L40" s="133" t="n"/>
      <c r="M40" s="134" t="n"/>
      <c r="N40" s="134" t="n"/>
      <c r="O40" s="134" t="n"/>
    </row>
    <row r="41" ht="24" customHeight="1">
      <c r="A41" s="96" t="n">
        <v>13</v>
      </c>
      <c r="B41" s="123" t="inlineStr">
        <is>
          <t>SARAWAK</t>
        </is>
      </c>
      <c r="C41" s="124" t="inlineStr">
        <is>
          <t>KENYALANG WARRIOR</t>
        </is>
      </c>
      <c r="D41" s="131" t="inlineStr">
        <is>
          <t>[  ]</t>
        </is>
      </c>
      <c r="E41" s="131" t="inlineStr">
        <is>
          <t>[  ]</t>
        </is>
      </c>
      <c r="F41" s="131" t="inlineStr">
        <is>
          <t>[  ]</t>
        </is>
      </c>
      <c r="G41" s="132" t="n"/>
      <c r="H41" s="132" t="n"/>
      <c r="I41" s="133" t="n"/>
      <c r="J41" s="134" t="n"/>
      <c r="K41" s="134" t="n"/>
      <c r="L41" s="133" t="n"/>
      <c r="M41" s="134" t="n"/>
      <c r="N41" s="134" t="n"/>
      <c r="O41" s="134" t="n"/>
    </row>
    <row r="42" ht="24" customHeight="1">
      <c r="A42" s="97" t="n">
        <v>14</v>
      </c>
      <c r="B42" s="123" t="inlineStr">
        <is>
          <t>SABAH</t>
        </is>
      </c>
      <c r="C42" s="124" t="inlineStr">
        <is>
          <t>BORNEO FRAME</t>
        </is>
      </c>
      <c r="D42" s="131" t="inlineStr">
        <is>
          <t>[  ]</t>
        </is>
      </c>
      <c r="E42" s="131" t="inlineStr">
        <is>
          <t>[  ]</t>
        </is>
      </c>
      <c r="F42" s="131" t="inlineStr">
        <is>
          <t>[  ]</t>
        </is>
      </c>
      <c r="G42" s="132" t="n"/>
      <c r="H42" s="132" t="n"/>
      <c r="I42" s="133" t="n"/>
      <c r="J42" s="134" t="n"/>
      <c r="K42" s="134" t="n"/>
      <c r="L42" s="133" t="n"/>
      <c r="M42" s="134" t="n"/>
      <c r="N42" s="134" t="n"/>
      <c r="O42" s="134" t="n"/>
    </row>
    <row r="44" ht="26" customHeight="1">
      <c r="A44" s="35" t="inlineStr">
        <is>
          <t>Ulasan keseluruhan dan cadangan hakim</t>
        </is>
      </c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</row>
    <row r="45" ht="18" customHeight="1">
      <c r="A45" s="133" t="n"/>
      <c r="B45" s="134" t="n"/>
      <c r="C45" s="134" t="n"/>
      <c r="D45" s="134" t="n"/>
      <c r="E45" s="134" t="n"/>
      <c r="F45" s="134" t="n"/>
      <c r="G45" s="134" t="n"/>
      <c r="H45" s="134" t="n"/>
      <c r="I45" s="134" t="n"/>
      <c r="J45" s="134" t="n"/>
      <c r="K45" s="134" t="n"/>
      <c r="L45" s="134" t="n"/>
      <c r="M45" s="134" t="n"/>
      <c r="N45" s="134" t="n"/>
      <c r="O45" s="134" t="n"/>
    </row>
    <row r="46" ht="18" customHeight="1">
      <c r="A46" s="134" t="n"/>
      <c r="B46" s="134" t="n"/>
      <c r="C46" s="134" t="n"/>
      <c r="D46" s="134" t="n"/>
      <c r="E46" s="134" t="n"/>
      <c r="F46" s="134" t="n"/>
      <c r="G46" s="134" t="n"/>
      <c r="H46" s="134" t="n"/>
      <c r="I46" s="134" t="n"/>
      <c r="J46" s="134" t="n"/>
      <c r="K46" s="134" t="n"/>
      <c r="L46" s="134" t="n"/>
      <c r="M46" s="134" t="n"/>
      <c r="N46" s="134" t="n"/>
      <c r="O46" s="134" t="n"/>
    </row>
    <row r="47" ht="18" customHeight="1">
      <c r="A47" s="134" t="n"/>
      <c r="B47" s="134" t="n"/>
      <c r="C47" s="134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  <c r="N47" s="134" t="n"/>
      <c r="O47" s="134" t="n"/>
    </row>
    <row r="49" ht="30" customHeight="1">
      <c r="A49" s="135" t="inlineStr">
        <is>
          <t>PERAKUAN HAKIM: Saya mengesahkan markah dalam borang ini ialah penilaian saya sendiri, dibuat selepas menonton video dan menyemak bukti wajib, tanpa pengaruh pihak lain.</t>
        </is>
      </c>
      <c r="B49" s="136" t="n"/>
      <c r="C49" s="136" t="n"/>
      <c r="D49" s="136" t="n"/>
      <c r="E49" s="136" t="n"/>
      <c r="F49" s="136" t="n"/>
      <c r="G49" s="136" t="n"/>
      <c r="H49" s="136" t="n"/>
      <c r="I49" s="136" t="n"/>
      <c r="J49" s="136" t="n"/>
      <c r="K49" s="136" t="n"/>
      <c r="L49" s="136" t="n"/>
      <c r="M49" s="136" t="n"/>
      <c r="N49" s="136" t="n"/>
      <c r="O49" s="136" t="n"/>
    </row>
    <row r="50" ht="34" customHeight="1">
      <c r="A50" s="84" t="inlineStr">
        <is>
          <t>Tandatangan hakim:</t>
        </is>
      </c>
      <c r="B50" s="137" t="n"/>
      <c r="C50" s="137" t="n"/>
      <c r="D50" s="133" t="n"/>
      <c r="E50" s="134" t="n"/>
      <c r="F50" s="134" t="n"/>
      <c r="G50" s="134" t="n"/>
      <c r="H50" s="134" t="n"/>
      <c r="I50" s="84" t="inlineStr">
        <is>
          <t>Tarikh dan masa:</t>
        </is>
      </c>
      <c r="J50" s="137" t="n"/>
      <c r="K50" s="133" t="n"/>
      <c r="L50" s="134" t="n"/>
      <c r="M50" s="134" t="n"/>
      <c r="N50" s="134" t="n"/>
      <c r="O50" s="134" t="n"/>
    </row>
    <row r="51" ht="34" customHeight="1">
      <c r="A51" s="84" t="inlineStr">
        <is>
          <t>Nama penuh:</t>
        </is>
      </c>
      <c r="B51" s="137" t="n"/>
      <c r="C51" s="137" t="n"/>
      <c r="D51" s="133" t="n"/>
      <c r="E51" s="134" t="n"/>
      <c r="F51" s="134" t="n"/>
      <c r="G51" s="134" t="n"/>
      <c r="H51" s="134" t="n"/>
      <c r="I51" s="84" t="inlineStr">
        <is>
          <t>Diterima Urusetia:</t>
        </is>
      </c>
      <c r="J51" s="137" t="n"/>
      <c r="K51" s="133" t="n"/>
      <c r="L51" s="134" t="n"/>
      <c r="M51" s="134" t="n"/>
      <c r="N51" s="134" t="n"/>
      <c r="O51" s="134" t="n"/>
    </row>
  </sheetData>
  <mergeCells count="53">
    <mergeCell ref="I41:K41"/>
    <mergeCell ref="A25:O25"/>
    <mergeCell ref="L31:O31"/>
    <mergeCell ref="I32:K32"/>
    <mergeCell ref="L40:O40"/>
    <mergeCell ref="I28:K28"/>
    <mergeCell ref="I37:K37"/>
    <mergeCell ref="L34:O34"/>
    <mergeCell ref="A27:O27"/>
    <mergeCell ref="A50:C50"/>
    <mergeCell ref="I33:K33"/>
    <mergeCell ref="L36:O36"/>
    <mergeCell ref="I42:K42"/>
    <mergeCell ref="A2:O2"/>
    <mergeCell ref="K51:O51"/>
    <mergeCell ref="I39:K39"/>
    <mergeCell ref="A23:O23"/>
    <mergeCell ref="K50:O50"/>
    <mergeCell ref="I35:K35"/>
    <mergeCell ref="L32:O32"/>
    <mergeCell ref="A4:C4"/>
    <mergeCell ref="I29:K29"/>
    <mergeCell ref="I38:K38"/>
    <mergeCell ref="L37:O37"/>
    <mergeCell ref="L28:O28"/>
    <mergeCell ref="A44:O44"/>
    <mergeCell ref="I31:K31"/>
    <mergeCell ref="F4:H4"/>
    <mergeCell ref="D4:E4"/>
    <mergeCell ref="I34:K34"/>
    <mergeCell ref="I40:K40"/>
    <mergeCell ref="I30:K30"/>
    <mergeCell ref="L42:O42"/>
    <mergeCell ref="L33:O33"/>
    <mergeCell ref="A51:C51"/>
    <mergeCell ref="I4:J4"/>
    <mergeCell ref="A24:O24"/>
    <mergeCell ref="I51:J51"/>
    <mergeCell ref="I36:K36"/>
    <mergeCell ref="L30:O30"/>
    <mergeCell ref="L39:O39"/>
    <mergeCell ref="A49:O49"/>
    <mergeCell ref="L35:O35"/>
    <mergeCell ref="A1:O1"/>
    <mergeCell ref="D51:H51"/>
    <mergeCell ref="L38:O38"/>
    <mergeCell ref="A45:O47"/>
    <mergeCell ref="L29:O29"/>
    <mergeCell ref="K4:L4"/>
    <mergeCell ref="I50:J50"/>
    <mergeCell ref="D50:H50"/>
    <mergeCell ref="N4:O4"/>
    <mergeCell ref="L41:O41"/>
  </mergeCells>
  <printOptions horizontalCentered="1"/>
  <pageMargins left="0.4" right="0.4" top="0.3" bottom="0.3" header="0.5" footer="0.5"/>
  <pageSetup orientation="landscape" paperSize="9" fitToHeight="0" fitToWidth="1"/>
  <rowBreaks count="1" manualBreakCount="1">
    <brk id="2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2026-10-28T21:46:40Z</dcterms:created>
  <dcterms:modified xmlns:dcterms="http://purl.org/dc/terms/" xmlns:xsi="http://www.w3.org/2001/XMLSchema-instance" xsi:type="dcterms:W3CDTF">2026-10-28T21:46:40Z</dcterms:modified>
</cp:coreProperties>
</file>