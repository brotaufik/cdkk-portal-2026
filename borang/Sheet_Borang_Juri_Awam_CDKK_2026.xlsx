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UNDIAN" sheetId="2" state="visible" r:id="rId2"/>
    <sheet xmlns:r="http://schemas.openxmlformats.org/officeDocument/2006/relationships" name="CETAK" sheetId="3" state="visible" r:id="rId3"/>
  </sheets>
  <definedNames>
    <definedName name="_xlnm.Print_Area" localSheetId="0">'PANDUAN'!$A$1:$D$25</definedName>
    <definedName name="_xlnm.Print_Area" localSheetId="1">'UNDIAN'!$A$1:$I$26</definedName>
    <definedName name="_xlnm.Print_Area" localSheetId="2">'CETAK'!$A$1:$H$28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6">
    <font>
      <name val="Calibri"/>
      <family val="2"/>
      <color theme="1"/>
      <sz val="11"/>
      <scheme val="minor"/>
    </font>
    <font>
      <name val="Arial"/>
      <b val="1"/>
      <color rgb="00F3D64E"/>
      <sz val="15"/>
    </font>
    <font>
      <name val="Arial"/>
      <i val="1"/>
      <color rgb="009EE7F5"/>
      <sz val="9"/>
    </font>
    <font>
      <name val="Arial"/>
      <b val="1"/>
      <color rgb="00FFFFFF"/>
      <sz val="11"/>
    </font>
    <font>
      <name val="Arial"/>
      <b val="1"/>
      <color rgb="000891B2"/>
      <sz val="10"/>
    </font>
    <font>
      <name val="Arial"/>
      <color rgb="001F2937"/>
      <sz val="10"/>
    </font>
    <font>
      <name val="Arial"/>
      <b val="1"/>
      <color rgb="00DB2777"/>
      <sz val="10"/>
    </font>
    <font>
      <name val="Arial"/>
      <b val="1"/>
      <color rgb="00CA8A04"/>
      <sz val="10"/>
    </font>
    <font>
      <name val="Arial"/>
      <b val="1"/>
      <color rgb="007C3AED"/>
      <sz val="10"/>
    </font>
    <font>
      <name val="Arial"/>
      <b val="1"/>
      <color rgb="001E2F55"/>
      <sz val="10"/>
    </font>
    <font>
      <name val="Arial"/>
      <b val="1"/>
      <color rgb="00059669"/>
      <sz val="9"/>
    </font>
    <font>
      <name val="Arial"/>
      <b val="1"/>
      <color rgb="000891B2"/>
      <sz val="9"/>
    </font>
    <font>
      <name val="Arial"/>
      <b val="1"/>
      <color rgb="00DB2777"/>
      <sz val="9"/>
    </font>
    <font>
      <name val="Arial"/>
      <b val="1"/>
      <color rgb="00EA580C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891B2"/>
      <sz val="13"/>
    </font>
    <font>
      <name val="Arial"/>
      <b val="1"/>
      <color rgb="00DB2777"/>
      <sz val="13"/>
    </font>
    <font>
      <name val="Arial"/>
      <b val="1"/>
      <color rgb="00EA580C"/>
      <sz val="13"/>
    </font>
    <font>
      <name val="Arial"/>
      <b val="1"/>
      <color rgb="007C3AED"/>
      <sz val="12"/>
    </font>
    <font>
      <name val="Arial"/>
      <b val="1"/>
      <color rgb="00059669"/>
      <sz val="12"/>
    </font>
    <font>
      <name val="Arial"/>
      <b val="1"/>
      <color rgb="001E2F55"/>
      <sz val="9"/>
    </font>
    <font>
      <name val="Arial"/>
      <b val="1"/>
      <color rgb="002563EB"/>
      <sz val="10"/>
    </font>
    <font>
      <name val="Arial"/>
      <b val="1"/>
      <color rgb="00059669"/>
      <sz val="10"/>
    </font>
    <font>
      <name val="Arial"/>
      <b val="1"/>
      <color rgb="00F3D64E"/>
      <sz val="13"/>
    </font>
    <font>
      <name val="Arial"/>
      <b val="1"/>
      <color rgb="000891B2"/>
      <sz val="8.5"/>
    </font>
    <font>
      <name val="Arial"/>
      <b val="1"/>
      <color rgb="00DB2777"/>
      <sz val="8.5"/>
    </font>
    <font>
      <name val="Arial"/>
      <b val="1"/>
      <color rgb="00EA580C"/>
      <sz val="8.5"/>
    </font>
    <font>
      <name val="Arial"/>
      <b val="1"/>
      <color rgb="001E2F55"/>
      <sz val="8"/>
    </font>
    <font>
      <name val="Arial"/>
      <b val="1"/>
      <color rgb="007C3AED"/>
      <sz val="8"/>
    </font>
    <font>
      <name val="Arial"/>
      <color rgb="000891B2"/>
      <sz val="14"/>
    </font>
    <font>
      <name val="Arial"/>
      <color rgb="00DB2777"/>
      <sz val="14"/>
    </font>
    <font>
      <name val="Arial"/>
      <color rgb="00EA580C"/>
      <sz val="14"/>
    </font>
    <font>
      <name val="Arial"/>
      <color rgb="001F2937"/>
      <sz val="14"/>
    </font>
    <font>
      <name val="Arial"/>
      <color rgb="001F2937"/>
      <sz val="12"/>
    </font>
    <font>
      <name val="Arial"/>
      <color rgb="001E2F55"/>
      <sz val="8.5"/>
    </font>
  </fonts>
  <fills count="24">
    <fill>
      <patternFill/>
    </fill>
    <fill>
      <patternFill patternType="gray125"/>
    </fill>
    <fill>
      <patternFill patternType="solid">
        <fgColor rgb="000F1B33"/>
        <bgColor rgb="000F1B33"/>
      </patternFill>
    </fill>
    <fill>
      <patternFill patternType="solid">
        <fgColor rgb="001E2F55"/>
        <bgColor rgb="001E2F55"/>
      </patternFill>
    </fill>
    <fill>
      <patternFill patternType="solid">
        <fgColor rgb="000891B2"/>
        <bgColor rgb="000891B2"/>
      </patternFill>
    </fill>
    <fill>
      <patternFill patternType="solid">
        <fgColor rgb="00DB2777"/>
        <bgColor rgb="00DB2777"/>
      </patternFill>
    </fill>
    <fill>
      <patternFill patternType="solid">
        <fgColor rgb="00CA8A04"/>
        <bgColor rgb="00CA8A04"/>
      </patternFill>
    </fill>
    <fill>
      <patternFill patternType="solid">
        <fgColor rgb="007C3AED"/>
        <bgColor rgb="007C3AED"/>
      </patternFill>
    </fill>
    <fill>
      <patternFill patternType="solid">
        <fgColor rgb="00EEF2FA"/>
        <bgColor rgb="00EEF2FA"/>
      </patternFill>
    </fill>
    <fill>
      <patternFill patternType="solid">
        <fgColor rgb="00FFFFFF"/>
        <bgColor rgb="00FFFFFF"/>
      </patternFill>
    </fill>
    <fill>
      <patternFill patternType="solid">
        <fgColor rgb="00D3F1F8"/>
        <bgColor rgb="00D3F1F8"/>
      </patternFill>
    </fill>
    <fill>
      <patternFill patternType="solid">
        <fgColor rgb="00FFF4C2"/>
        <bgColor rgb="00FFF4C2"/>
      </patternFill>
    </fill>
    <fill>
      <patternFill patternType="solid">
        <fgColor rgb="00FBDDEC"/>
        <bgColor rgb="00FBDDEC"/>
      </patternFill>
    </fill>
    <fill>
      <patternFill patternType="solid">
        <fgColor rgb="00FFE2CF"/>
        <bgColor rgb="00FFE2CF"/>
      </patternFill>
    </fill>
    <fill>
      <patternFill patternType="solid">
        <fgColor rgb="00EA580C"/>
        <bgColor rgb="00EA580C"/>
      </patternFill>
    </fill>
    <fill>
      <patternFill patternType="solid">
        <fgColor rgb="00059669"/>
        <bgColor rgb="00059669"/>
      </patternFill>
    </fill>
    <fill>
      <patternFill patternType="solid">
        <fgColor rgb="00E7DEFD"/>
        <bgColor rgb="00E7DEFD"/>
      </patternFill>
    </fill>
    <fill>
      <patternFill patternType="solid">
        <fgColor rgb="00D1F1E4"/>
        <bgColor rgb="00D1F1E4"/>
      </patternFill>
    </fill>
    <fill>
      <patternFill patternType="solid">
        <fgColor rgb="00E6EEFB"/>
        <bgColor rgb="00E6EEFB"/>
      </patternFill>
    </fill>
    <fill>
      <patternFill patternType="solid">
        <fgColor rgb="002563EB"/>
        <bgColor rgb="002563EB"/>
      </patternFill>
    </fill>
    <fill>
      <patternFill patternType="solid">
        <fgColor rgb="00C026D3"/>
        <bgColor rgb="00C026D3"/>
      </patternFill>
    </fill>
    <fill>
      <patternFill patternType="solid">
        <fgColor rgb="0065A30D"/>
        <bgColor rgb="0065A30D"/>
      </patternFill>
    </fill>
    <fill>
      <patternFill patternType="solid">
        <fgColor rgb="00F0F0F0"/>
        <bgColor rgb="00F0F0F0"/>
      </patternFill>
    </fill>
    <fill>
      <patternFill patternType="solid">
        <fgColor rgb="00FDF1BF"/>
        <bgColor rgb="00FDF1BF"/>
      </patternFill>
    </fill>
  </fills>
  <borders count="5">
    <border>
      <left/>
      <right/>
      <top/>
      <bottom/>
      <diagonal/>
    </border>
    <border>
      <left style="thin">
        <color rgb="009AA8C4"/>
      </left>
      <right style="thin">
        <color rgb="009AA8C4"/>
      </right>
      <top style="thin">
        <color rgb="009AA8C4"/>
      </top>
      <bottom style="thin">
        <color rgb="009AA8C4"/>
      </bottom>
    </border>
    <border>
      <left/>
      <right/>
      <top style="thin">
        <color rgb="009AA8C4"/>
      </top>
      <bottom/>
      <diagonal/>
    </border>
    <border>
      <left/>
      <right style="thin">
        <color rgb="009AA8C4"/>
      </right>
      <top style="thin">
        <color rgb="009AA8C4"/>
      </top>
      <bottom/>
      <diagonal/>
    </border>
    <border>
      <left/>
      <right style="thin">
        <color rgb="009AA8C4"/>
      </right>
      <top style="thin">
        <color rgb="009AA8C4"/>
      </top>
      <bottom style="thin">
        <color rgb="009AA8C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3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2" fontId="20" fillId="17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22" fillId="18" borderId="1" applyAlignment="1" pivotButton="0" quotePrefix="0" xfId="0">
      <alignment horizontal="center" vertical="center" wrapText="1"/>
    </xf>
    <xf numFmtId="2" fontId="23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24" fillId="2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0" fillId="15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5" fillId="10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3" fillId="22" borderId="1" applyAlignment="1" pivotButton="0" quotePrefix="0" xfId="0">
      <alignment horizontal="center" vertical="center" wrapText="1"/>
    </xf>
    <xf numFmtId="0" fontId="34" fillId="22" borderId="1" applyAlignment="1" pivotButton="0" quotePrefix="0" xfId="0">
      <alignment horizontal="center" vertical="center" wrapText="1"/>
    </xf>
    <xf numFmtId="0" fontId="35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1" fillId="23" borderId="1" applyAlignment="1" pivotButton="0" quotePrefix="0" xfId="0">
      <alignment horizontal="left" vertical="center" wrapText="1"/>
    </xf>
    <xf numFmtId="0" fontId="0" fillId="23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FFFFFF"/>
      </font>
      <fill>
        <patternFill patternType="solid">
          <fgColor rgb="00DC2626"/>
          <bgColor rgb="00DC2626"/>
        </patternFill>
      </fill>
    </dxf>
    <dxf>
      <font>
        <name val="Arial"/>
        <b val="1"/>
        <color rgb="001B5E20"/>
      </font>
      <fill>
        <patternFill patternType="solid">
          <fgColor rgb="00D5EBD0"/>
          <bgColor rgb="00D5EBD0"/>
        </patternFill>
      </fill>
    </dxf>
    <dxf>
      <font>
        <name val="Arial"/>
        <b val="1"/>
        <color rgb="008B0000"/>
      </font>
      <fill>
        <patternFill patternType="solid">
          <fgColor rgb="00F6CFCF"/>
          <bgColor rgb="00F6CFCF"/>
        </patternFill>
      </fill>
    </dxf>
    <dxf>
      <font>
        <name val="Arial"/>
        <b val="1"/>
        <color rgb="007A4B00"/>
      </font>
      <fill>
        <patternFill patternType="solid">
          <fgColor rgb="00FDE3B0"/>
          <bgColor rgb="00FDE3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6" customWidth="1" min="3" max="3"/>
    <col width="108" customWidth="1" min="4" max="4"/>
  </cols>
  <sheetData>
    <row r="1" ht="32" customHeight="1">
      <c r="A1" s="1" t="inlineStr">
        <is>
          <t>TEMPLAT BORANG JURI AWAM  |  CDKK @FESMA 2026  |  PANDUAN</t>
        </is>
      </c>
      <c r="B1" s="2" t="n"/>
      <c r="C1" s="2" t="n"/>
      <c r="D1" s="2" t="n"/>
    </row>
    <row r="2" ht="24" customHeight="1">
      <c r="A2" s="3" t="inlineStr">
        <is>
          <t>Baca panduan ini sekali sebelum guna. Sel KUNING = isi/pilih. Sel BIRU = formula, jangan taip.</t>
        </is>
      </c>
      <c r="B2" s="4" t="n"/>
      <c r="C2" s="4" t="n"/>
      <c r="D2" s="4" t="n"/>
    </row>
    <row r="3" ht="6" customHeight="1">
      <c r="A3" s="5" t="n"/>
      <c r="B3" s="6" t="n"/>
      <c r="C3" s="7" t="n"/>
      <c r="D3" s="8" t="n"/>
    </row>
    <row r="5" ht="26" customHeight="1">
      <c r="B5" s="9" t="inlineStr">
        <is>
          <t>TUJUAN DAN PERATURAN</t>
        </is>
      </c>
      <c r="C5" s="5" t="n"/>
      <c r="D5" s="5" t="n"/>
    </row>
    <row r="6" ht="36" customHeight="1">
      <c r="B6" s="10" t="inlineStr">
        <is>
          <t>A</t>
        </is>
      </c>
      <c r="C6" s="11" t="inlineStr">
        <is>
          <t>Fungsi borang</t>
        </is>
      </c>
      <c r="D6" s="12" t="inlineStr">
        <is>
          <t>Borang alternatif untuk juri awam sebagai sandaran kepada halaman Juri dalam Portal CDKK. Ia TIDAK bersambung dengan sistem. Skor dikumpul Urusetia Kehakiman dalam fail Rumusan.</t>
        </is>
      </c>
    </row>
    <row r="7" ht="36" customHeight="1">
      <c r="B7" s="10" t="inlineStr">
        <is>
          <t>B</t>
        </is>
      </c>
      <c r="C7" s="13" t="inlineStr">
        <is>
          <t>Bilangan dan markah</t>
        </is>
      </c>
      <c r="D7" s="14" t="inlineStr">
        <is>
          <t>25 juri awam, jumlah markah 100. Setiap juri membawa 4 markah. Setiap pasukan dinilai pada tiga aspek, skor 1 hingga 10.</t>
        </is>
      </c>
    </row>
    <row r="8" ht="36" customHeight="1">
      <c r="B8" s="10" t="inlineStr">
        <is>
          <t>C</t>
        </is>
      </c>
      <c r="C8" s="11" t="inlineStr">
        <is>
          <t>Sumbangan seorang juri</t>
        </is>
      </c>
      <c r="D8" s="12" t="inlineStr">
        <is>
          <t>Sumbangan kepada sesebuah pasukan = jumlah tiga aspek / 30 x 4. Skor pasukan = jumlah sumbangan semua juri, maksimum 100. Juri yang tidak mengundi bermakna pasukan kehilangan sumbangan itu.</t>
        </is>
      </c>
    </row>
    <row r="9" ht="36" customHeight="1">
      <c r="B9" s="10" t="inlineStr">
        <is>
          <t>D</t>
        </is>
      </c>
      <c r="C9" s="13" t="inlineStr">
        <is>
          <t>Anugerah</t>
        </is>
      </c>
      <c r="D9" s="14" t="inlineStr">
        <is>
          <t>Minimum 5 undi untuk layak Anugerah Pilihan Juri Awam. Lebih 25 undi tidak layak. Anugerah ini berasingan daripada markah hakim.</t>
        </is>
      </c>
    </row>
    <row r="11" ht="26" customHeight="1">
      <c r="B11" s="15" t="inlineStr">
        <is>
          <t>CARA GUNA DI KOMPUTER</t>
        </is>
      </c>
      <c r="C11" s="6" t="n"/>
      <c r="D11" s="6" t="n"/>
    </row>
    <row r="12" ht="36" customHeight="1">
      <c r="B12" s="16" t="inlineStr">
        <is>
          <t>1</t>
        </is>
      </c>
      <c r="C12" s="17" t="inlineStr">
        <is>
          <t>Salin fail</t>
        </is>
      </c>
      <c r="D12" s="12" t="inlineStr">
        <is>
          <t>Fail &gt; Buat salinan, satu bagi setiap juri (CDKK_Borang_Juri_01 hingga 25). Kongsi hanya kepada juri berkenaan.</t>
        </is>
      </c>
    </row>
    <row r="13" ht="36" customHeight="1">
      <c r="B13" s="16" t="inlineStr">
        <is>
          <t>2</t>
        </is>
      </c>
      <c r="C13" s="18" t="inlineStr">
        <is>
          <t>Buka tab UNDIAN</t>
        </is>
      </c>
      <c r="D13" s="14" t="inlineStr">
        <is>
          <t>Taip Kod juri (cth. Juri 07), pilih Sesi dalam dropdown dan taip tarikh.</t>
        </is>
      </c>
    </row>
    <row r="14" ht="36" customHeight="1">
      <c r="B14" s="16" t="inlineStr">
        <is>
          <t>3</t>
        </is>
      </c>
      <c r="C14" s="17" t="inlineStr">
        <is>
          <t>Pilih skor (dropdown)</t>
        </is>
      </c>
      <c r="D14" s="12" t="inlineStr">
        <is>
          <t>Skor TIDAK boleh ditaip. Klik sel, klik anak panah dan PILIH nombor 1 hingga 10. Nombor di luar senarai ditolak, jadi skor tidak mungkin melebihi 10.</t>
        </is>
      </c>
    </row>
    <row r="15" ht="36" customHeight="1">
      <c r="B15" s="16" t="inlineStr">
        <is>
          <t>4</t>
        </is>
      </c>
      <c r="C15" s="18" t="inlineStr">
        <is>
          <t>Jumlah dikira sendiri</t>
        </is>
      </c>
      <c r="D15" s="14" t="inlineStr">
        <is>
          <t>Untuk setiap pasukan yang anda tonton, pilih ketiga-tiga aspek. Jumlah dan Sumbangan dikira automatik. Satu pasukan hanya diundi sekali.</t>
        </is>
      </c>
    </row>
    <row r="16" ht="36" customHeight="1">
      <c r="B16" s="16" t="inlineStr">
        <is>
          <t>5</t>
        </is>
      </c>
      <c r="C16" s="17" t="inlineStr">
        <is>
          <t>Siap dan serah</t>
        </is>
      </c>
      <c r="D16" s="12" t="inlineStr">
        <is>
          <t>Bila siap, status borang bertukar SEDIA. Urusetia menyalin lajur JUMLAH (G9:G22) dan menampalnya sebagai nilai ke lajur juri berkenaan dalam tab JURI fail Rumusan.</t>
        </is>
      </c>
    </row>
    <row r="18" ht="26" customHeight="1">
      <c r="B18" s="19" t="inlineStr">
        <is>
          <t>JURI GANTI PADA HARI 2</t>
        </is>
      </c>
      <c r="C18" s="7" t="n"/>
      <c r="D18" s="7" t="n"/>
    </row>
    <row r="19" ht="36" customHeight="1">
      <c r="B19" s="20" t="inlineStr">
        <is>
          <t>1</t>
        </is>
      </c>
      <c r="C19" s="21" t="inlineStr">
        <is>
          <t>Guna kod yang sama</t>
        </is>
      </c>
      <c r="D19" s="12" t="inlineStr">
        <is>
          <t>Juri yang bertukar pada Hari 2 menggunakan kad juri Hari 1 yang tidak hadir: gunakan kod juri yang sama dan hanya nilai pasukan yang belum diundi oleh kod itu.</t>
        </is>
      </c>
    </row>
    <row r="21" ht="26" customHeight="1">
      <c r="B21" s="22" t="inlineStr">
        <is>
          <t>CARA CETAK (JIKA KOMPUTER BERMASALAH)</t>
        </is>
      </c>
      <c r="C21" s="8" t="n"/>
      <c r="D21" s="8" t="n"/>
    </row>
    <row r="22" ht="36" customHeight="1">
      <c r="B22" s="23" t="inlineStr">
        <is>
          <t>1</t>
        </is>
      </c>
      <c r="C22" s="24" t="inlineStr">
        <is>
          <t>Buka tab CETAK</t>
        </is>
      </c>
      <c r="D22" s="12" t="inlineStr">
        <is>
          <t>Fail &gt; Cetak, pilih Helaian semasa, A4, Portrait. Satu muka.</t>
        </is>
      </c>
    </row>
    <row r="23" ht="36" customHeight="1">
      <c r="B23" s="23" t="inlineStr">
        <is>
          <t>2</t>
        </is>
      </c>
      <c r="C23" s="25" t="inlineStr">
        <is>
          <t>Isi dengan pen</t>
        </is>
      </c>
      <c r="D23" s="14" t="inlineStr">
        <is>
          <t>Juri mengisi dengan pen dan Urusetia menaip semula ke borang komputer.</t>
        </is>
      </c>
    </row>
  </sheetData>
  <mergeCells count="6">
    <mergeCell ref="B11:D11"/>
    <mergeCell ref="A1:D1"/>
    <mergeCell ref="B5:D5"/>
    <mergeCell ref="B18:D18"/>
    <mergeCell ref="B21:D21"/>
    <mergeCell ref="A2:D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1:I25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6" customWidth="1" min="9" max="9"/>
  </cols>
  <sheetData>
    <row r="1" ht="32" customHeight="1">
      <c r="A1" s="1" t="inlineStr">
        <is>
          <t>BORANG JURI AWAM  |  CDKK @FESMA 2026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Skor DIPILIH daripada dropdown 1 hingga 10 (tidak boleh ditaip). Sel KUNING dan warna aspek = pilih/isi. Sel BIRU = formula, jangan taip.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6" customHeight="1">
      <c r="A3" s="26" t="inlineStr">
        <is>
          <t>Kod juri (cth. Juri 07)</t>
        </is>
      </c>
      <c r="B3" s="27" t="n"/>
      <c r="C3" s="28" t="n"/>
      <c r="D3" s="29" t="n"/>
      <c r="E3" s="30" t="inlineStr">
        <is>
          <t>Sesi</t>
        </is>
      </c>
      <c r="F3" s="27" t="n"/>
      <c r="G3" s="31" t="inlineStr">
        <is>
          <t>Hari 1 malam</t>
        </is>
      </c>
      <c r="H3" s="32" t="n"/>
    </row>
    <row r="4" ht="26" customHeight="1">
      <c r="A4" s="26" t="inlineStr">
        <is>
          <t>Nama juri (pilihan)</t>
        </is>
      </c>
      <c r="B4" s="27" t="n"/>
      <c r="C4" s="33" t="n"/>
      <c r="D4" s="29" t="n"/>
      <c r="E4" s="30" t="inlineStr">
        <is>
          <t>Tarikh</t>
        </is>
      </c>
      <c r="F4" s="27" t="n"/>
      <c r="G4" s="34" t="n"/>
      <c r="H4" s="29" t="n"/>
    </row>
    <row r="5" ht="24" customHeight="1">
      <c r="A5" s="35" t="inlineStr">
        <is>
          <t>Aspek 1. Mesej mudah difahami: Adakah anda faham apa yang video ini cuba sampaikan?  (1 = lemah, 10 = cemerlang)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24" customHeight="1">
      <c r="A6" s="36" t="inlineStr">
        <is>
          <t>Aspek 2. Video menarik perhatian: Adakah video ini mengekalkan perhatian anda dari mula hingga akhir?  (1 = lemah, 10 = cemerlang)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</row>
    <row r="7" ht="24" customHeight="1">
      <c r="A7" s="38" t="inlineStr">
        <is>
          <t>Aspek 3. Kandungan memberi impak: Adakah video ini meninggalkan kesan atau membuat anda mahu bertindak?  (1 = lemah, 10 = cemerlang)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 ht="48" customHeight="1">
      <c r="A8" s="40" t="inlineStr">
        <is>
          <t>Bil</t>
        </is>
      </c>
      <c r="B8" s="40" t="inlineStr">
        <is>
          <t>Negeri</t>
        </is>
      </c>
      <c r="C8" s="40" t="inlineStr">
        <is>
          <t>Pasukan</t>
        </is>
      </c>
      <c r="D8" s="41" t="inlineStr">
        <is>
          <t>Aspek 1 Mesej</t>
        </is>
      </c>
      <c r="E8" s="42" t="inlineStr">
        <is>
          <t>Aspek 2 Menarik</t>
        </is>
      </c>
      <c r="F8" s="43" t="inlineStr">
        <is>
          <t>Aspek 3 Impak</t>
        </is>
      </c>
      <c r="G8" s="44" t="inlineStr">
        <is>
          <t>JUMLAH (3 hingga 30)</t>
        </is>
      </c>
      <c r="H8" s="45" t="inlineStr">
        <is>
          <t>Sumbangan (jumlah / 30 x 4)</t>
        </is>
      </c>
      <c r="I8" s="46" t="inlineStr">
        <is>
          <t>Semakan</t>
        </is>
      </c>
    </row>
    <row r="9" ht="26" customHeight="1">
      <c r="A9" s="47" t="n">
        <v>1</v>
      </c>
      <c r="B9" s="48" t="inlineStr">
        <is>
          <t>PERLIS</t>
        </is>
      </c>
      <c r="C9" s="24" t="inlineStr">
        <is>
          <t>NOVA</t>
        </is>
      </c>
      <c r="D9" s="49" t="n"/>
      <c r="E9" s="50" t="n"/>
      <c r="F9" s="51" t="n"/>
      <c r="G9" s="52">
        <f>IF(COUNT(D9:F9)=3,SUM(D9:F9),"")</f>
        <v/>
      </c>
      <c r="H9" s="53">
        <f>IF(G9="","",ROUND(G9/30*4,4))</f>
        <v/>
      </c>
      <c r="I9" s="54">
        <f>IF(COUNTA(D9:F9)=0,"Belum dinilai",IF(COUNT(D9:F9)&lt;3,"Isi ketiga-tiga aspek",IF(OR(SUMPRODUCT((D9:F9&gt;10)*1)&gt;0,SUMPRODUCT((D9:F9&lt;1)*1)&gt;0,SUMPRODUCT((D9:F9&lt;&gt;INT(D9:F9))*1)&gt;0),"MELEBIHI HAD","SEDIA")))</f>
        <v/>
      </c>
    </row>
    <row r="10" ht="26" customHeight="1">
      <c r="A10" s="55" t="n">
        <v>2</v>
      </c>
      <c r="B10" s="48" t="inlineStr">
        <is>
          <t>KEDAH</t>
        </is>
      </c>
      <c r="C10" s="24" t="inlineStr">
        <is>
          <t>KDH BUDDY</t>
        </is>
      </c>
      <c r="D10" s="49" t="n"/>
      <c r="E10" s="50" t="n"/>
      <c r="F10" s="51" t="n"/>
      <c r="G10" s="52">
        <f>IF(COUNT(D10:F10)=3,SUM(D10:F10),"")</f>
        <v/>
      </c>
      <c r="H10" s="53">
        <f>IF(G10="","",ROUND(G10/30*4,4))</f>
        <v/>
      </c>
      <c r="I10" s="54">
        <f>IF(COUNTA(D10:F10)=0,"Belum dinilai",IF(COUNT(D10:F10)&lt;3,"Isi ketiga-tiga aspek",IF(OR(SUMPRODUCT((D10:F10&gt;10)*1)&gt;0,SUMPRODUCT((D10:F10&lt;1)*1)&gt;0,SUMPRODUCT((D10:F10&lt;&gt;INT(D10:F10))*1)&gt;0),"MELEBIHI HAD","SEDIA")))</f>
        <v/>
      </c>
    </row>
    <row r="11" ht="26" customHeight="1">
      <c r="A11" s="56" t="n">
        <v>3</v>
      </c>
      <c r="B11" s="48" t="inlineStr">
        <is>
          <t>PULAU PINANG</t>
        </is>
      </c>
      <c r="C11" s="24" t="inlineStr">
        <is>
          <t>RAFIQ RANGERS</t>
        </is>
      </c>
      <c r="D11" s="49" t="n"/>
      <c r="E11" s="50" t="n"/>
      <c r="F11" s="51" t="n"/>
      <c r="G11" s="52">
        <f>IF(COUNT(D11:F11)=3,SUM(D11:F11),"")</f>
        <v/>
      </c>
      <c r="H11" s="53">
        <f>IF(G11="","",ROUND(G11/30*4,4))</f>
        <v/>
      </c>
      <c r="I11" s="54">
        <f>IF(COUNTA(D11:F11)=0,"Belum dinilai",IF(COUNT(D11:F11)&lt;3,"Isi ketiga-tiga aspek",IF(OR(SUMPRODUCT((D11:F11&gt;10)*1)&gt;0,SUMPRODUCT((D11:F11&lt;1)*1)&gt;0,SUMPRODUCT((D11:F11&lt;&gt;INT(D11:F11))*1)&gt;0),"MELEBIHI HAD","SEDIA")))</f>
        <v/>
      </c>
    </row>
    <row r="12" ht="26" customHeight="1">
      <c r="A12" s="57" t="n">
        <v>4</v>
      </c>
      <c r="B12" s="48" t="inlineStr">
        <is>
          <t>KELANTAN</t>
        </is>
      </c>
      <c r="C12" s="24" t="inlineStr">
        <is>
          <t>SHE ATE</t>
        </is>
      </c>
      <c r="D12" s="49" t="n"/>
      <c r="E12" s="50" t="n"/>
      <c r="F12" s="51" t="n"/>
      <c r="G12" s="52">
        <f>IF(COUNT(D12:F12)=3,SUM(D12:F12),"")</f>
        <v/>
      </c>
      <c r="H12" s="53">
        <f>IF(G12="","",ROUND(G12/30*4,4))</f>
        <v/>
      </c>
      <c r="I12" s="54">
        <f>IF(COUNTA(D12:F12)=0,"Belum dinilai",IF(COUNT(D12:F12)&lt;3,"Isi ketiga-tiga aspek",IF(OR(SUMPRODUCT((D12:F12&gt;10)*1)&gt;0,SUMPRODUCT((D12:F12&lt;1)*1)&gt;0,SUMPRODUCT((D12:F12&lt;&gt;INT(D12:F12))*1)&gt;0),"MELEBIHI HAD","SEDIA")))</f>
        <v/>
      </c>
    </row>
    <row r="13" ht="26" customHeight="1">
      <c r="A13" s="58" t="n">
        <v>5</v>
      </c>
      <c r="B13" s="48" t="inlineStr">
        <is>
          <t>TERENGGANU</t>
        </is>
      </c>
      <c r="C13" s="24" t="inlineStr">
        <is>
          <t>WIRAWATI CYBER</t>
        </is>
      </c>
      <c r="D13" s="49" t="n"/>
      <c r="E13" s="50" t="n"/>
      <c r="F13" s="51" t="n"/>
      <c r="G13" s="52">
        <f>IF(COUNT(D13:F13)=3,SUM(D13:F13),"")</f>
        <v/>
      </c>
      <c r="H13" s="53">
        <f>IF(G13="","",ROUND(G13/30*4,4))</f>
        <v/>
      </c>
      <c r="I13" s="54">
        <f>IF(COUNTA(D13:F13)=0,"Belum dinilai",IF(COUNT(D13:F13)&lt;3,"Isi ketiga-tiga aspek",IF(OR(SUMPRODUCT((D13:F13&gt;10)*1)&gt;0,SUMPRODUCT((D13:F13&lt;1)*1)&gt;0,SUMPRODUCT((D13:F13&lt;&gt;INT(D13:F13))*1)&gt;0),"MELEBIHI HAD","SEDIA")))</f>
        <v/>
      </c>
    </row>
    <row r="14" ht="26" customHeight="1">
      <c r="A14" s="59" t="n">
        <v>6</v>
      </c>
      <c r="B14" s="48" t="inlineStr">
        <is>
          <t>PAHANG</t>
        </is>
      </c>
      <c r="C14" s="24" t="inlineStr">
        <is>
          <t>YH SRIKANDI</t>
        </is>
      </c>
      <c r="D14" s="49" t="n"/>
      <c r="E14" s="50" t="n"/>
      <c r="F14" s="51" t="n"/>
      <c r="G14" s="52">
        <f>IF(COUNT(D14:F14)=3,SUM(D14:F14),"")</f>
        <v/>
      </c>
      <c r="H14" s="53">
        <f>IF(G14="","",ROUND(G14/30*4,4))</f>
        <v/>
      </c>
      <c r="I14" s="54">
        <f>IF(COUNTA(D14:F14)=0,"Belum dinilai",IF(COUNT(D14:F14)&lt;3,"Isi ketiga-tiga aspek",IF(OR(SUMPRODUCT((D14:F14&gt;10)*1)&gt;0,SUMPRODUCT((D14:F14&lt;1)*1)&gt;0,SUMPRODUCT((D14:F14&lt;&gt;INT(D14:F14))*1)&gt;0),"MELEBIHI HAD","SEDIA")))</f>
        <v/>
      </c>
    </row>
    <row r="15" ht="26" customHeight="1">
      <c r="A15" s="60" t="n">
        <v>7</v>
      </c>
      <c r="B15" s="48" t="inlineStr">
        <is>
          <t>NEGERI SEMBILAN</t>
        </is>
      </c>
      <c r="C15" s="24" t="inlineStr">
        <is>
          <t>WAGHIH TECHNOVA</t>
        </is>
      </c>
      <c r="D15" s="49" t="n"/>
      <c r="E15" s="50" t="n"/>
      <c r="F15" s="51" t="n"/>
      <c r="G15" s="52">
        <f>IF(COUNT(D15:F15)=3,SUM(D15:F15),"")</f>
        <v/>
      </c>
      <c r="H15" s="53">
        <f>IF(G15="","",ROUND(G15/30*4,4))</f>
        <v/>
      </c>
      <c r="I15" s="54">
        <f>IF(COUNTA(D15:F15)=0,"Belum dinilai",IF(COUNT(D15:F15)&lt;3,"Isi ketiga-tiga aspek",IF(OR(SUMPRODUCT((D15:F15&gt;10)*1)&gt;0,SUMPRODUCT((D15:F15&lt;1)*1)&gt;0,SUMPRODUCT((D15:F15&lt;&gt;INT(D15:F15))*1)&gt;0),"MELEBIHI HAD","SEDIA")))</f>
        <v/>
      </c>
    </row>
    <row r="16" ht="26" customHeight="1">
      <c r="A16" s="61" t="n">
        <v>8</v>
      </c>
      <c r="B16" s="48" t="inlineStr">
        <is>
          <t>MELAKA</t>
        </is>
      </c>
      <c r="C16" s="24" t="inlineStr">
        <is>
          <t>TUN TEJA</t>
        </is>
      </c>
      <c r="D16" s="49" t="n"/>
      <c r="E16" s="50" t="n"/>
      <c r="F16" s="51" t="n"/>
      <c r="G16" s="52">
        <f>IF(COUNT(D16:F16)=3,SUM(D16:F16),"")</f>
        <v/>
      </c>
      <c r="H16" s="53">
        <f>IF(G16="","",ROUND(G16/30*4,4))</f>
        <v/>
      </c>
      <c r="I16" s="54">
        <f>IF(COUNTA(D16:F16)=0,"Belum dinilai",IF(COUNT(D16:F16)&lt;3,"Isi ketiga-tiga aspek",IF(OR(SUMPRODUCT((D16:F16&gt;10)*1)&gt;0,SUMPRODUCT((D16:F16&lt;1)*1)&gt;0,SUMPRODUCT((D16:F16&lt;&gt;INT(D16:F16))*1)&gt;0),"MELEBIHI HAD","SEDIA")))</f>
        <v/>
      </c>
    </row>
    <row r="17" ht="26" customHeight="1">
      <c r="A17" s="62" t="n">
        <v>9</v>
      </c>
      <c r="B17" s="48" t="inlineStr">
        <is>
          <t>PERAK</t>
        </is>
      </c>
      <c r="C17" s="24" t="inlineStr">
        <is>
          <t>VORTEX</t>
        </is>
      </c>
      <c r="D17" s="49" t="n"/>
      <c r="E17" s="50" t="n"/>
      <c r="F17" s="51" t="n"/>
      <c r="G17" s="52">
        <f>IF(COUNT(D17:F17)=3,SUM(D17:F17),"")</f>
        <v/>
      </c>
      <c r="H17" s="53">
        <f>IF(G17="","",ROUND(G17/30*4,4))</f>
        <v/>
      </c>
      <c r="I17" s="54">
        <f>IF(COUNTA(D17:F17)=0,"Belum dinilai",IF(COUNT(D17:F17)&lt;3,"Isi ketiga-tiga aspek",IF(OR(SUMPRODUCT((D17:F17&gt;10)*1)&gt;0,SUMPRODUCT((D17:F17&lt;1)*1)&gt;0,SUMPRODUCT((D17:F17&lt;&gt;INT(D17:F17))*1)&gt;0),"MELEBIHI HAD","SEDIA")))</f>
        <v/>
      </c>
    </row>
    <row r="18" ht="26" customHeight="1">
      <c r="A18" s="47" t="n">
        <v>10</v>
      </c>
      <c r="B18" s="48" t="inlineStr">
        <is>
          <t>SELANGOR</t>
        </is>
      </c>
      <c r="C18" s="24" t="inlineStr">
        <is>
          <t>BYTESYNC</t>
        </is>
      </c>
      <c r="D18" s="49" t="n"/>
      <c r="E18" s="50" t="n"/>
      <c r="F18" s="51" t="n"/>
      <c r="G18" s="52">
        <f>IF(COUNT(D18:F18)=3,SUM(D18:F18),"")</f>
        <v/>
      </c>
      <c r="H18" s="53">
        <f>IF(G18="","",ROUND(G18/30*4,4))</f>
        <v/>
      </c>
      <c r="I18" s="54">
        <f>IF(COUNTA(D18:F18)=0,"Belum dinilai",IF(COUNT(D18:F18)&lt;3,"Isi ketiga-tiga aspek",IF(OR(SUMPRODUCT((D18:F18&gt;10)*1)&gt;0,SUMPRODUCT((D18:F18&lt;1)*1)&gt;0,SUMPRODUCT((D18:F18&lt;&gt;INT(D18:F18))*1)&gt;0),"MELEBIHI HAD","SEDIA")))</f>
        <v/>
      </c>
    </row>
    <row r="19" ht="26" customHeight="1">
      <c r="A19" s="55" t="n">
        <v>11</v>
      </c>
      <c r="B19" s="48" t="inlineStr">
        <is>
          <t>JOHOR</t>
        </is>
      </c>
      <c r="C19" s="24" t="inlineStr">
        <is>
          <t>DWI KARYA</t>
        </is>
      </c>
      <c r="D19" s="49" t="n"/>
      <c r="E19" s="50" t="n"/>
      <c r="F19" s="51" t="n"/>
      <c r="G19" s="52">
        <f>IF(COUNT(D19:F19)=3,SUM(D19:F19),"")</f>
        <v/>
      </c>
      <c r="H19" s="53">
        <f>IF(G19="","",ROUND(G19/30*4,4))</f>
        <v/>
      </c>
      <c r="I19" s="54">
        <f>IF(COUNTA(D19:F19)=0,"Belum dinilai",IF(COUNT(D19:F19)&lt;3,"Isi ketiga-tiga aspek",IF(OR(SUMPRODUCT((D19:F19&gt;10)*1)&gt;0,SUMPRODUCT((D19:F19&lt;1)*1)&gt;0,SUMPRODUCT((D19:F19&lt;&gt;INT(D19:F19))*1)&gt;0),"MELEBIHI HAD","SEDIA")))</f>
        <v/>
      </c>
    </row>
    <row r="20" ht="26" customHeight="1">
      <c r="A20" s="56" t="n">
        <v>12</v>
      </c>
      <c r="B20" s="48" t="inlineStr">
        <is>
          <t>WILAYAH PERSEKUTUAN</t>
        </is>
      </c>
      <c r="C20" s="24" t="inlineStr">
        <is>
          <t>SRIKANDI ULTRA</t>
        </is>
      </c>
      <c r="D20" s="49" t="n"/>
      <c r="E20" s="50" t="n"/>
      <c r="F20" s="51" t="n"/>
      <c r="G20" s="52">
        <f>IF(COUNT(D20:F20)=3,SUM(D20:F20),"")</f>
        <v/>
      </c>
      <c r="H20" s="53">
        <f>IF(G20="","",ROUND(G20/30*4,4))</f>
        <v/>
      </c>
      <c r="I20" s="54">
        <f>IF(COUNTA(D20:F20)=0,"Belum dinilai",IF(COUNT(D20:F20)&lt;3,"Isi ketiga-tiga aspek",IF(OR(SUMPRODUCT((D20:F20&gt;10)*1)&gt;0,SUMPRODUCT((D20:F20&lt;1)*1)&gt;0,SUMPRODUCT((D20:F20&lt;&gt;INT(D20:F20))*1)&gt;0),"MELEBIHI HAD","SEDIA")))</f>
        <v/>
      </c>
    </row>
    <row r="21" ht="26" customHeight="1">
      <c r="A21" s="57" t="n">
        <v>13</v>
      </c>
      <c r="B21" s="48" t="inlineStr">
        <is>
          <t>SARAWAK</t>
        </is>
      </c>
      <c r="C21" s="24" t="inlineStr">
        <is>
          <t>KENYALANG WARRIOR</t>
        </is>
      </c>
      <c r="D21" s="49" t="n"/>
      <c r="E21" s="50" t="n"/>
      <c r="F21" s="51" t="n"/>
      <c r="G21" s="52">
        <f>IF(COUNT(D21:F21)=3,SUM(D21:F21),"")</f>
        <v/>
      </c>
      <c r="H21" s="53">
        <f>IF(G21="","",ROUND(G21/30*4,4))</f>
        <v/>
      </c>
      <c r="I21" s="54">
        <f>IF(COUNTA(D21:F21)=0,"Belum dinilai",IF(COUNT(D21:F21)&lt;3,"Isi ketiga-tiga aspek",IF(OR(SUMPRODUCT((D21:F21&gt;10)*1)&gt;0,SUMPRODUCT((D21:F21&lt;1)*1)&gt;0,SUMPRODUCT((D21:F21&lt;&gt;INT(D21:F21))*1)&gt;0),"MELEBIHI HAD","SEDIA")))</f>
        <v/>
      </c>
    </row>
    <row r="22" ht="26" customHeight="1">
      <c r="A22" s="58" t="n">
        <v>14</v>
      </c>
      <c r="B22" s="48" t="inlineStr">
        <is>
          <t>SABAH</t>
        </is>
      </c>
      <c r="C22" s="24" t="inlineStr">
        <is>
          <t>BORNEO FRAME</t>
        </is>
      </c>
      <c r="D22" s="49" t="n"/>
      <c r="E22" s="50" t="n"/>
      <c r="F22" s="51" t="n"/>
      <c r="G22" s="52">
        <f>IF(COUNT(D22:F22)=3,SUM(D22:F22),"")</f>
        <v/>
      </c>
      <c r="H22" s="53">
        <f>IF(G22="","",ROUND(G22/30*4,4))</f>
        <v/>
      </c>
      <c r="I22" s="54">
        <f>IF(COUNTA(D22:F22)=0,"Belum dinilai",IF(COUNT(D22:F22)&lt;3,"Isi ketiga-tiga aspek",IF(OR(SUMPRODUCT((D22:F22&gt;10)*1)&gt;0,SUMPRODUCT((D22:F22&lt;1)*1)&gt;0,SUMPRODUCT((D22:F22&lt;&gt;INT(D22:F22))*1)&gt;0),"MELEBIHI HAD","SEDIA")))</f>
        <v/>
      </c>
    </row>
    <row r="24" ht="26" customHeight="1">
      <c r="A24" s="26" t="inlineStr">
        <is>
          <t>Bilangan pasukan dinilai</t>
        </is>
      </c>
      <c r="B24" s="27" t="n"/>
      <c r="C24" s="27" t="n"/>
      <c r="D24" s="63">
        <f>COUNT(G9:G22)</f>
        <v/>
      </c>
      <c r="E24" s="30" t="inlineStr">
        <is>
          <t>Jumlah sumbangan anda</t>
        </is>
      </c>
      <c r="F24" s="27" t="n"/>
      <c r="G24" s="64">
        <f>SUM(H9:H22)</f>
        <v/>
      </c>
    </row>
    <row r="25" ht="26" customHeight="1">
      <c r="A25" s="26" t="inlineStr">
        <is>
          <t>STATUS BORANG</t>
        </is>
      </c>
      <c r="B25" s="27" t="n"/>
      <c r="C25" s="27" t="n"/>
      <c r="D25" s="65">
        <f>IF(C3="","BELUM SEDIA: taip Kod juri",IF(COUNTIF(I9:I22,"Isi ketiga-tiga aspek")+COUNTIF(I9:I22,"MELEBIHI HAD")&gt;0,"BELUM SEDIA: ada pasukan separuh diisi atau skor tidak sah",IF(D24=0,"BELUM SEDIA: tiada pasukan dinilai","SEDIA DISERAH KEPADA URUSETIA")))</f>
        <v/>
      </c>
      <c r="E25" s="66" t="n"/>
      <c r="F25" s="66" t="n"/>
      <c r="G25" s="66" t="n"/>
      <c r="H25" s="66" t="n"/>
    </row>
  </sheetData>
  <mergeCells count="17">
    <mergeCell ref="A4:B4"/>
    <mergeCell ref="G4:H4"/>
    <mergeCell ref="E4:F4"/>
    <mergeCell ref="A7:I7"/>
    <mergeCell ref="A25:C25"/>
    <mergeCell ref="A2:I2"/>
    <mergeCell ref="D25:H25"/>
    <mergeCell ref="A5:I5"/>
    <mergeCell ref="E24:F24"/>
    <mergeCell ref="A1:I1"/>
    <mergeCell ref="A24:C24"/>
    <mergeCell ref="A6:I6"/>
    <mergeCell ref="C3:D3"/>
    <mergeCell ref="A3:B3"/>
    <mergeCell ref="G3:H3"/>
    <mergeCell ref="E3:F3"/>
    <mergeCell ref="C4:D4"/>
  </mergeCells>
  <conditionalFormatting sqref="D9:D22">
    <cfRule type="expression" priority="1" dxfId="0" stopIfTrue="0">
      <formula>AND(ISNUMBER(D9),OR(D9&gt;10,D9&lt;1))</formula>
    </cfRule>
  </conditionalFormatting>
  <conditionalFormatting sqref="E9:E22">
    <cfRule type="expression" priority="2" dxfId="0" stopIfTrue="0">
      <formula>AND(ISNUMBER(E9),OR(E9&gt;10,E9&lt;1))</formula>
    </cfRule>
  </conditionalFormatting>
  <conditionalFormatting sqref="F9:F22">
    <cfRule type="expression" priority="3" dxfId="0" stopIfTrue="0">
      <formula>AND(ISNUMBER(F9),OR(F9&gt;10,F9&lt;1))</formula>
    </cfRule>
  </conditionalFormatting>
  <conditionalFormatting sqref="I9:I22">
    <cfRule type="expression" priority="4" dxfId="1" stopIfTrue="0">
      <formula>$I9="SEDIA"</formula>
    </cfRule>
    <cfRule type="expression" priority="5" dxfId="2" stopIfTrue="0">
      <formula>OR($I9="Isi ketiga-tiga aspek",$I9="MELEBIHI HAD")</formula>
    </cfRule>
  </conditionalFormatting>
  <conditionalFormatting sqref="D25">
    <cfRule type="expression" priority="6" dxfId="1" stopIfTrue="0">
      <formula>LEFT($D25,5)="SEDIA"</formula>
    </cfRule>
    <cfRule type="expression" priority="7" dxfId="3" stopIfTrue="0">
      <formula>LEFT($D25,5)="BELUM"</formula>
    </cfRule>
  </conditionalFormatting>
  <dataValidations count="4">
    <dataValidation sqref="G3" showDropDown="0" showInputMessage="0" showErrorMessage="1" allowBlank="1" errorTitle="Pilihan tidak sah" error="Pilih daripada senarai: Hari 1 malam, Hari 2 pagi" type="list" errorStyle="stop">
      <formula1>"Hari 1 malam,Hari 2 pagi"</formula1>
    </dataValidation>
    <dataValidation sqref="D9:D22" showDropDown="0" showInputMessage="1" showErrorMessage="1" allowBlank="1" errorTitle="Markah tidak sah" error="Pilih skor 1 hingga 10 daripada dropdown. Taip bebas tidak dibenarkan." promptTitle="Pilih markah" prompt="Klik anak panah dan pilih 1 hingga 10." type="list" errorStyle="stop">
      <formula1>"1,2,3,4,5,6,7,8,9,10"</formula1>
    </dataValidation>
    <dataValidation sqref="E9:E22" showDropDown="0" showInputMessage="1" showErrorMessage="1" allowBlank="1" errorTitle="Markah tidak sah" error="Pilih skor 1 hingga 10 daripada dropdown. Taip bebas tidak dibenarkan." promptTitle="Pilih markah" prompt="Klik anak panah dan pilih 1 hingga 10." type="list" errorStyle="stop">
      <formula1>"1,2,3,4,5,6,7,8,9,10"</formula1>
    </dataValidation>
    <dataValidation sqref="F9:F22" showDropDown="0" showInputMessage="1" showErrorMessage="1" allowBlank="1" errorTitle="Markah tidak sah" error="Pilih skor 1 hingga 10 daripada dropdown. Taip bebas tidak dibenarkan." promptTitle="Pilih markah" prompt="Klik anak panah dan pilih 1 hingga 10." type="list" errorStyle="stop">
      <formula1>"1,2,3,4,5,6,7,8,9,10"</formula1>
    </dataValidation>
  </dataValidation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2" customHeight="1">
      <c r="A1" s="67" t="inlineStr">
        <is>
          <t>BORANG JURI AWAM  |  CDKK @FESMA 2026  |  KERTAS SANDARAN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Nilai setiap video pada tiga aspek, skor 1 hingga 10 (nombor bulat). Satu undi bagi setiap pasukan.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>
      <c r="A3" s="5" t="n"/>
      <c r="B3" s="6" t="n"/>
      <c r="C3" s="7" t="n"/>
      <c r="D3" s="8" t="n"/>
      <c r="E3" s="68" t="n"/>
      <c r="F3" s="69" t="n"/>
      <c r="G3" s="70" t="n"/>
      <c r="H3" s="71" t="n"/>
    </row>
    <row r="4" ht="26" customHeight="1">
      <c r="A4" s="26" t="inlineStr">
        <is>
          <t>Kod juri (cth. Juri 07):</t>
        </is>
      </c>
      <c r="B4" s="27" t="n"/>
      <c r="C4" s="72" t="n"/>
      <c r="D4" s="73" t="n"/>
      <c r="E4" s="26" t="inlineStr">
        <is>
          <t>Sesi (Hari 1 / Hari 2):</t>
        </is>
      </c>
      <c r="F4" s="27" t="n"/>
      <c r="G4" s="72" t="n"/>
      <c r="H4" s="73" t="n"/>
    </row>
    <row r="5" ht="26" customHeight="1">
      <c r="A5" s="26" t="inlineStr">
        <is>
          <t>Tarikh:</t>
        </is>
      </c>
      <c r="B5" s="27" t="n"/>
      <c r="C5" s="72" t="n"/>
      <c r="D5" s="73" t="n"/>
      <c r="E5" s="26" t="inlineStr">
        <is>
          <t>Nama (pilihan):</t>
        </is>
      </c>
      <c r="F5" s="27" t="n"/>
      <c r="G5" s="72" t="n"/>
      <c r="H5" s="73" t="n"/>
    </row>
    <row r="6" ht="24" customHeight="1">
      <c r="A6" s="74" t="inlineStr">
        <is>
          <t>Aspek 1. Mesej mudah difahami: Adakah anda faham apa yang video ini cuba sampaikan?   (1 = lemah, 10 = cemerlang)</t>
        </is>
      </c>
      <c r="B6" s="27" t="n"/>
      <c r="C6" s="27" t="n"/>
      <c r="D6" s="27" t="n"/>
      <c r="E6" s="27" t="n"/>
      <c r="F6" s="27" t="n"/>
      <c r="G6" s="27" t="n"/>
      <c r="H6" s="27" t="n"/>
    </row>
    <row r="7" ht="24" customHeight="1">
      <c r="A7" s="75" t="inlineStr">
        <is>
          <t>Aspek 2. Video menarik perhatian: Adakah video ini mengekalkan perhatian anda dari mula hingga akhir?   (1 = lemah, 10 = cemerlang)</t>
        </is>
      </c>
      <c r="B7" s="37" t="n"/>
      <c r="C7" s="37" t="n"/>
      <c r="D7" s="37" t="n"/>
      <c r="E7" s="37" t="n"/>
      <c r="F7" s="37" t="n"/>
      <c r="G7" s="37" t="n"/>
      <c r="H7" s="37" t="n"/>
    </row>
    <row r="8" ht="24" customHeight="1">
      <c r="A8" s="76" t="inlineStr">
        <is>
          <t>Aspek 3. Kandungan memberi impak: Adakah video ini meninggalkan kesan atau membuat anda mahu bertindak?   (1 = lemah, 10 = cemerlang)</t>
        </is>
      </c>
      <c r="B8" s="39" t="n"/>
      <c r="C8" s="39" t="n"/>
      <c r="D8" s="39" t="n"/>
      <c r="E8" s="39" t="n"/>
      <c r="F8" s="39" t="n"/>
      <c r="G8" s="39" t="n"/>
      <c r="H8" s="39" t="n"/>
    </row>
    <row r="10" ht="48" customHeight="1">
      <c r="A10" s="40" t="inlineStr">
        <is>
          <t>Bil</t>
        </is>
      </c>
      <c r="B10" s="40" t="inlineStr">
        <is>
          <t>Negeri</t>
        </is>
      </c>
      <c r="C10" s="40" t="inlineStr">
        <is>
          <t>Pasukan</t>
        </is>
      </c>
      <c r="D10" s="41" t="inlineStr">
        <is>
          <t>Aspek 1 Mesej</t>
        </is>
      </c>
      <c r="E10" s="42" t="inlineStr">
        <is>
          <t>Aspek 2 Menarik</t>
        </is>
      </c>
      <c r="F10" s="43" t="inlineStr">
        <is>
          <t>Aspek 3 Impak</t>
        </is>
      </c>
      <c r="G10" s="44" t="inlineStr">
        <is>
          <t>JUMLAH (3 hingga 30)</t>
        </is>
      </c>
      <c r="H10" s="45" t="inlineStr">
        <is>
          <t>Sumbangan (jumlah / 30 x 4)</t>
        </is>
      </c>
    </row>
    <row r="11" ht="30" customHeight="1">
      <c r="A11" s="47" t="n">
        <v>1</v>
      </c>
      <c r="B11" s="77" t="inlineStr">
        <is>
          <t>PERLIS</t>
        </is>
      </c>
      <c r="C11" s="78" t="inlineStr">
        <is>
          <t>NOVA</t>
        </is>
      </c>
      <c r="D11" s="79" t="n"/>
      <c r="E11" s="80" t="n"/>
      <c r="F11" s="81" t="n"/>
      <c r="G11" s="82" t="n"/>
      <c r="H11" s="83" t="n"/>
    </row>
    <row r="12" ht="30" customHeight="1">
      <c r="A12" s="55" t="n">
        <v>2</v>
      </c>
      <c r="B12" s="77" t="inlineStr">
        <is>
          <t>KEDAH</t>
        </is>
      </c>
      <c r="C12" s="78" t="inlineStr">
        <is>
          <t>KDH BUDDY</t>
        </is>
      </c>
      <c r="D12" s="79" t="n"/>
      <c r="E12" s="80" t="n"/>
      <c r="F12" s="81" t="n"/>
      <c r="G12" s="82" t="n"/>
      <c r="H12" s="83" t="n"/>
    </row>
    <row r="13" ht="30" customHeight="1">
      <c r="A13" s="56" t="n">
        <v>3</v>
      </c>
      <c r="B13" s="77" t="inlineStr">
        <is>
          <t>PULAU PINANG</t>
        </is>
      </c>
      <c r="C13" s="78" t="inlineStr">
        <is>
          <t>RAFIQ RANGERS</t>
        </is>
      </c>
      <c r="D13" s="79" t="n"/>
      <c r="E13" s="80" t="n"/>
      <c r="F13" s="81" t="n"/>
      <c r="G13" s="82" t="n"/>
      <c r="H13" s="83" t="n"/>
    </row>
    <row r="14" ht="30" customHeight="1">
      <c r="A14" s="57" t="n">
        <v>4</v>
      </c>
      <c r="B14" s="77" t="inlineStr">
        <is>
          <t>KELANTAN</t>
        </is>
      </c>
      <c r="C14" s="78" t="inlineStr">
        <is>
          <t>SHE ATE</t>
        </is>
      </c>
      <c r="D14" s="79" t="n"/>
      <c r="E14" s="80" t="n"/>
      <c r="F14" s="81" t="n"/>
      <c r="G14" s="82" t="n"/>
      <c r="H14" s="83" t="n"/>
    </row>
    <row r="15" ht="30" customHeight="1">
      <c r="A15" s="58" t="n">
        <v>5</v>
      </c>
      <c r="B15" s="77" t="inlineStr">
        <is>
          <t>TERENGGANU</t>
        </is>
      </c>
      <c r="C15" s="78" t="inlineStr">
        <is>
          <t>WIRAWATI CYBER</t>
        </is>
      </c>
      <c r="D15" s="79" t="n"/>
      <c r="E15" s="80" t="n"/>
      <c r="F15" s="81" t="n"/>
      <c r="G15" s="82" t="n"/>
      <c r="H15" s="83" t="n"/>
    </row>
    <row r="16" ht="30" customHeight="1">
      <c r="A16" s="59" t="n">
        <v>6</v>
      </c>
      <c r="B16" s="77" t="inlineStr">
        <is>
          <t>PAHANG</t>
        </is>
      </c>
      <c r="C16" s="78" t="inlineStr">
        <is>
          <t>YH SRIKANDI</t>
        </is>
      </c>
      <c r="D16" s="79" t="n"/>
      <c r="E16" s="80" t="n"/>
      <c r="F16" s="81" t="n"/>
      <c r="G16" s="82" t="n"/>
      <c r="H16" s="83" t="n"/>
    </row>
    <row r="17" ht="30" customHeight="1">
      <c r="A17" s="60" t="n">
        <v>7</v>
      </c>
      <c r="B17" s="77" t="inlineStr">
        <is>
          <t>NEGERI SEMBILAN</t>
        </is>
      </c>
      <c r="C17" s="78" t="inlineStr">
        <is>
          <t>WAGHIH TECHNOVA</t>
        </is>
      </c>
      <c r="D17" s="79" t="n"/>
      <c r="E17" s="80" t="n"/>
      <c r="F17" s="81" t="n"/>
      <c r="G17" s="82" t="n"/>
      <c r="H17" s="83" t="n"/>
    </row>
    <row r="18" ht="30" customHeight="1">
      <c r="A18" s="61" t="n">
        <v>8</v>
      </c>
      <c r="B18" s="77" t="inlineStr">
        <is>
          <t>MELAKA</t>
        </is>
      </c>
      <c r="C18" s="78" t="inlineStr">
        <is>
          <t>TUN TEJA</t>
        </is>
      </c>
      <c r="D18" s="79" t="n"/>
      <c r="E18" s="80" t="n"/>
      <c r="F18" s="81" t="n"/>
      <c r="G18" s="82" t="n"/>
      <c r="H18" s="83" t="n"/>
    </row>
    <row r="19" ht="30" customHeight="1">
      <c r="A19" s="62" t="n">
        <v>9</v>
      </c>
      <c r="B19" s="77" t="inlineStr">
        <is>
          <t>PERAK</t>
        </is>
      </c>
      <c r="C19" s="78" t="inlineStr">
        <is>
          <t>VORTEX</t>
        </is>
      </c>
      <c r="D19" s="79" t="n"/>
      <c r="E19" s="80" t="n"/>
      <c r="F19" s="81" t="n"/>
      <c r="G19" s="82" t="n"/>
      <c r="H19" s="83" t="n"/>
    </row>
    <row r="20" ht="30" customHeight="1">
      <c r="A20" s="47" t="n">
        <v>10</v>
      </c>
      <c r="B20" s="77" t="inlineStr">
        <is>
          <t>SELANGOR</t>
        </is>
      </c>
      <c r="C20" s="78" t="inlineStr">
        <is>
          <t>BYTESYNC</t>
        </is>
      </c>
      <c r="D20" s="79" t="n"/>
      <c r="E20" s="80" t="n"/>
      <c r="F20" s="81" t="n"/>
      <c r="G20" s="82" t="n"/>
      <c r="H20" s="83" t="n"/>
    </row>
    <row r="21" ht="30" customHeight="1">
      <c r="A21" s="55" t="n">
        <v>11</v>
      </c>
      <c r="B21" s="77" t="inlineStr">
        <is>
          <t>JOHOR</t>
        </is>
      </c>
      <c r="C21" s="78" t="inlineStr">
        <is>
          <t>DWI KARYA</t>
        </is>
      </c>
      <c r="D21" s="79" t="n"/>
      <c r="E21" s="80" t="n"/>
      <c r="F21" s="81" t="n"/>
      <c r="G21" s="82" t="n"/>
      <c r="H21" s="83" t="n"/>
    </row>
    <row r="22" ht="30" customHeight="1">
      <c r="A22" s="56" t="n">
        <v>12</v>
      </c>
      <c r="B22" s="77" t="inlineStr">
        <is>
          <t>WILAYAH PERSEKUTUAN</t>
        </is>
      </c>
      <c r="C22" s="78" t="inlineStr">
        <is>
          <t>SRIKANDI ULTRA</t>
        </is>
      </c>
      <c r="D22" s="79" t="n"/>
      <c r="E22" s="80" t="n"/>
      <c r="F22" s="81" t="n"/>
      <c r="G22" s="82" t="n"/>
      <c r="H22" s="83" t="n"/>
    </row>
    <row r="23" ht="30" customHeight="1">
      <c r="A23" s="57" t="n">
        <v>13</v>
      </c>
      <c r="B23" s="77" t="inlineStr">
        <is>
          <t>SARAWAK</t>
        </is>
      </c>
      <c r="C23" s="78" t="inlineStr">
        <is>
          <t>KENYALANG WARRIOR</t>
        </is>
      </c>
      <c r="D23" s="79" t="n"/>
      <c r="E23" s="80" t="n"/>
      <c r="F23" s="81" t="n"/>
      <c r="G23" s="82" t="n"/>
      <c r="H23" s="83" t="n"/>
    </row>
    <row r="24" ht="30" customHeight="1">
      <c r="A24" s="58" t="n">
        <v>14</v>
      </c>
      <c r="B24" s="77" t="inlineStr">
        <is>
          <t>SABAH</t>
        </is>
      </c>
      <c r="C24" s="78" t="inlineStr">
        <is>
          <t>BORNEO FRAME</t>
        </is>
      </c>
      <c r="D24" s="79" t="n"/>
      <c r="E24" s="80" t="n"/>
      <c r="F24" s="81" t="n"/>
      <c r="G24" s="82" t="n"/>
      <c r="H24" s="83" t="n"/>
    </row>
    <row r="26" ht="30" customHeight="1">
      <c r="A26" s="84" t="inlineStr">
        <is>
          <t>Biarkan kosong pasukan yang tidak anda nilai. Pasukan yang tidak dinilai tidak mendapat sumbangan daripada anda. Urusetia mengira Jumlah dan Sumbangan jika anda tidak mahu mengira sendiri.</t>
        </is>
      </c>
      <c r="B26" s="85" t="n"/>
      <c r="C26" s="85" t="n"/>
      <c r="D26" s="85" t="n"/>
      <c r="E26" s="85" t="n"/>
      <c r="F26" s="85" t="n"/>
      <c r="G26" s="85" t="n"/>
      <c r="H26" s="85" t="n"/>
    </row>
    <row r="27" ht="26" customHeight="1">
      <c r="A27" s="86" t="inlineStr">
        <is>
          <t>PERAKUAN JURI: Saya menilai setiap video secara bebas dan jujur.</t>
        </is>
      </c>
      <c r="B27" s="87" t="n"/>
      <c r="C27" s="87" t="n"/>
      <c r="D27" s="87" t="n"/>
      <c r="E27" s="87" t="n"/>
      <c r="F27" s="87" t="n"/>
      <c r="G27" s="87" t="n"/>
      <c r="H27" s="87" t="n"/>
    </row>
    <row r="28" ht="40" customHeight="1">
      <c r="A28" s="48" t="inlineStr">
        <is>
          <t>Tandatangan juri:</t>
        </is>
      </c>
      <c r="B28" s="88" t="n"/>
      <c r="C28" s="88" t="n"/>
      <c r="D28" s="72" t="n"/>
      <c r="E28" s="73" t="n"/>
      <c r="F28" s="48" t="inlineStr">
        <is>
          <t>Diterima Urusetia:</t>
        </is>
      </c>
      <c r="G28" s="88" t="n"/>
      <c r="H28" s="72" t="n"/>
    </row>
  </sheetData>
  <mergeCells count="18">
    <mergeCell ref="A4:B4"/>
    <mergeCell ref="G4:H4"/>
    <mergeCell ref="E4:F4"/>
    <mergeCell ref="A26:H26"/>
    <mergeCell ref="A28:C28"/>
    <mergeCell ref="A7:H7"/>
    <mergeCell ref="A2:H2"/>
    <mergeCell ref="C5:D5"/>
    <mergeCell ref="A5:B5"/>
    <mergeCell ref="G5:H5"/>
    <mergeCell ref="E5:F5"/>
    <mergeCell ref="D28:E28"/>
    <mergeCell ref="F28:G28"/>
    <mergeCell ref="A1:H1"/>
    <mergeCell ref="A27:H27"/>
    <mergeCell ref="A8:H8"/>
    <mergeCell ref="A6:H6"/>
    <mergeCell ref="C4:D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2026-10-28T21:46:40Z</dcterms:created>
  <dcterms:modified xmlns:dcterms="http://purl.org/dc/terms/" xmlns:xsi="http://www.w3.org/2001/XMLSchema-instance" xsi:type="dcterms:W3CDTF">2026-10-28T21:46:40Z</dcterms:modified>
</cp:coreProperties>
</file>